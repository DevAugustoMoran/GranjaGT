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gerbe\Desktop\"/>
    </mc:Choice>
  </mc:AlternateContent>
  <xr:revisionPtr revIDLastSave="0" documentId="13_ncr:1_{69980D19-FF4B-4538-AF8F-683120A712A2}" xr6:coauthVersionLast="47" xr6:coauthVersionMax="47" xr10:uidLastSave="{00000000-0000-0000-0000-000000000000}"/>
  <bookViews>
    <workbookView xWindow="-120" yWindow="-120" windowWidth="29040" windowHeight="15840" xr2:uid="{10A3E61F-426A-4297-A3F0-2A3373C8C528}"/>
  </bookViews>
  <sheets>
    <sheet name="DashBoard" sheetId="3" r:id="rId1"/>
    <sheet name="DataSet" sheetId="2" r:id="rId2"/>
  </sheets>
  <definedNames>
    <definedName name="ExternalData_10" localSheetId="1" hidden="1">DataSet!$B$67:$C$73</definedName>
    <definedName name="ExternalData_2" localSheetId="1" hidden="1">DataSet!$A$1:$A$2</definedName>
    <definedName name="ExternalData_3" localSheetId="1" hidden="1">DataSet!$A$5:$A$6</definedName>
    <definedName name="ExternalData_4" localSheetId="1" hidden="1">DataSet!$A$9:$A$10</definedName>
    <definedName name="ExternalData_5" localSheetId="1" hidden="1">DataSet!$A$13:$A$14</definedName>
    <definedName name="ExternalData_6" localSheetId="1" hidden="1">DataSet!$B$17:$E$25</definedName>
    <definedName name="ExternalData_7" localSheetId="1" hidden="1">DataSet!$B$29:$D$36</definedName>
    <definedName name="ExternalData_8" localSheetId="1" hidden="1">DataSet!$B$40:$C$49</definedName>
    <definedName name="Slicer_CostoTotalPorCargo">#N/A</definedName>
    <definedName name="Slicer_Granja">#N/A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2" l="1" a="1"/>
  <c r="I6" i="2" s="1"/>
  <c r="H6" i="2" a="1"/>
  <c r="H6" i="2" s="1"/>
  <c r="H53" i="2" a="1"/>
  <c r="H53" i="2" s="1"/>
  <c r="H40" i="2" a="1"/>
  <c r="H40" i="2" s="1"/>
  <c r="H30" i="2" a="1"/>
  <c r="H30" i="2" s="1"/>
  <c r="H17" i="2" a="1"/>
  <c r="H17" i="2" s="1"/>
  <c r="C8" i="2" a="1"/>
  <c r="C8" i="2" s="1"/>
  <c r="C6" i="2" a="1"/>
  <c r="C6" i="2" s="1"/>
  <c r="C4" i="2" a="1"/>
  <c r="C4"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043C7B-4649-4F6A-8F72-AE51AC861EF2}" keepAlive="1" name="Query - DataSetCostoLaboralTotal" description="Connection to the 'DataSetCostoLaboralTotal' query in the workbook." type="5" refreshedVersion="8" background="1" saveData="1">
    <dbPr connection="Provider=Microsoft.Mashup.OleDb.1;Data Source=$Workbook$;Location=DataSetCostoLaboralTotal;Extended Properties=&quot;&quot;" command="SELECT * FROM [DataSetCostoLaboralTotal]"/>
  </connection>
  <connection id="2" xr16:uid="{91079854-E25E-4F32-83B3-E79B0B7CC5A0}" keepAlive="1" name="Query - DataSetCultivosRegistrados" description="Connection to the 'DataSetCultivosRegistrados' query in the workbook." type="5" refreshedVersion="8" background="1" saveData="1">
    <dbPr connection="Provider=Microsoft.Mashup.OleDb.1;Data Source=$Workbook$;Location=DataSetCultivosRegistrados;Extended Properties=&quot;&quot;" command="SELECT * FROM [DataSetCultivosRegistrados]"/>
  </connection>
  <connection id="3" xr16:uid="{EC110C1D-A197-4F49-B05F-C52749C9AA73}" keepAlive="1" name="Query - DataSetDistribucionGastoInsumosProveedor" description="Connection to the 'DataSetDistribucionGastoInsumosProveedor' query in the workbook." type="5" refreshedVersion="8" background="1" saveData="1">
    <dbPr connection="Provider=Microsoft.Mashup.OleDb.1;Data Source=$Workbook$;Location=DataSetDistribucionGastoInsumosProveedor;Extended Properties=&quot;&quot;" command="SELECT * FROM [DataSetDistribucionGastoInsumosProveedor]"/>
  </connection>
  <connection id="4" xr16:uid="{BF9AEA54-DC52-49E8-A74C-9FB77F2E2C9E}" keepAlive="1" name="Query - DataSetDistribucionGastoLaboralCargoGranja" description="Connection to the 'DataSetDistribucionGastoLaboralCargoGranja' query in the workbook." type="5" refreshedVersion="8" background="1" saveData="1">
    <dbPr connection="Provider=Microsoft.Mashup.OleDb.1;Data Source=$Workbook$;Location=DataSetDistribucionGastoLaboralCargoGranja;Extended Properties=&quot;&quot;" command="SELECT * FROM [DataSetDistribucionGastoLaboralCargoGranja]"/>
  </connection>
  <connection id="5" xr16:uid="{FB0A41E4-BB10-4B34-84EB-E4ED4E0B3555}" keepAlive="1" name="Query - DataSetMontoTotalVentas" description="Connection to the 'DataSetMontoTotalVentas' query in the workbook." type="5" refreshedVersion="8" background="1" saveData="1">
    <dbPr connection="Provider=Microsoft.Mashup.OleDb.1;Data Source=$Workbook$;Location=DataSetMontoTotalVentas;Extended Properties=&quot;&quot;" command="SELECT * FROM [DataSetMontoTotalVentas]"/>
  </connection>
  <connection id="6" xr16:uid="{B5DE93DB-CAD0-4B32-A9D4-65C0FC566BA4}" keepAlive="1" name="Query - DataSetRendimientocultivosTipo" description="Connection to the 'DataSetRendimientocultivosTipo' query in the workbook." type="5" refreshedVersion="8" background="1" saveData="1">
    <dbPr connection="Provider=Microsoft.Mashup.OleDb.1;Data Source=$Workbook$;Location=DataSetRendimientocultivosTipo;Extended Properties=&quot;&quot;" command="SELECT * FROM [DataSetRendimientocultivosTipo]"/>
  </connection>
  <connection id="7" xr16:uid="{5EC7CD33-0B10-48A3-8960-1585AA0234D5}" keepAlive="1" name="Query - DataSetTotalinventario" description="Connection to the 'DataSetTotalinventario' query in the workbook." type="5" refreshedVersion="8" background="1" saveData="1">
    <dbPr connection="Provider=Microsoft.Mashup.OleDb.1;Data Source=$Workbook$;Location=DataSetTotalinventario;Extended Properties=&quot;&quot;" command="SELECT * FROM [DataSetTotalinventario]"/>
  </connection>
  <connection id="8" xr16:uid="{949E21E7-E784-4063-994A-917B817C33E3}" keepAlive="1" name="Query - DataSetTotalInventarioInsumos" description="Connection to the 'DataSetTotalInventarioInsumos' query in the workbook." type="5" refreshedVersion="8" background="1" saveData="1">
    <dbPr connection="Provider=Microsoft.Mashup.OleDb.1;Data Source=$Workbook$;Location=DataSetTotalInventarioInsumos;Extended Properties=&quot;&quot;" command="SELECT * FROM [DataSetTotalInventarioInsumo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<sst xmlns="http://schemas.openxmlformats.org/spreadsheetml/2006/main" count="64" uniqueCount="42">
  <si>
    <t>MontoTotalVentas</t>
  </si>
  <si>
    <t>CostoLaboralTotal</t>
  </si>
  <si>
    <t>TotalCultivosRegistrados</t>
  </si>
  <si>
    <t>ValorTotalInventario</t>
  </si>
  <si>
    <t>Granja</t>
  </si>
  <si>
    <t>Anio</t>
  </si>
  <si>
    <t>Mes</t>
  </si>
  <si>
    <t>MontoVentas</t>
  </si>
  <si>
    <t>Granja El Amanecer</t>
  </si>
  <si>
    <t>Finca La Esperanza</t>
  </si>
  <si>
    <t>Granja Los Pinos</t>
  </si>
  <si>
    <t>Agropecuaria La Ceiba</t>
  </si>
  <si>
    <t>Finca El Portal</t>
  </si>
  <si>
    <t>Agropecuaria Del Sur</t>
  </si>
  <si>
    <t>Finca Las Victorias</t>
  </si>
  <si>
    <t>Cargo</t>
  </si>
  <si>
    <t>CostoTotalPorCargo</t>
  </si>
  <si>
    <t>Capataz</t>
  </si>
  <si>
    <t>Operario</t>
  </si>
  <si>
    <t>Agronomo</t>
  </si>
  <si>
    <t>Admin</t>
  </si>
  <si>
    <t>Veterinar</t>
  </si>
  <si>
    <t>TipoCultivo</t>
  </si>
  <si>
    <t>CantidadTotalCosechada</t>
  </si>
  <si>
    <t>Sorgo (Forraje)</t>
  </si>
  <si>
    <t>Cafe</t>
  </si>
  <si>
    <t>Aguacate</t>
  </si>
  <si>
    <t>Papa</t>
  </si>
  <si>
    <t>Zanahoria</t>
  </si>
  <si>
    <t>Maiz</t>
  </si>
  <si>
    <t>Maiz (Segunda)</t>
  </si>
  <si>
    <t>Frijol</t>
  </si>
  <si>
    <t>Tomate</t>
  </si>
  <si>
    <t>Proveedor</t>
  </si>
  <si>
    <t>GastoTotalInsumos</t>
  </si>
  <si>
    <t>Concentrados El Corral</t>
  </si>
  <si>
    <t>Fertilizantes De Guatemala (FERTIGUA)</t>
  </si>
  <si>
    <t>Semillas Del Tropico</t>
  </si>
  <si>
    <t>Combustibles Del Sur (Distribuidor)</t>
  </si>
  <si>
    <t>AgroInsumos S.A.</t>
  </si>
  <si>
    <t>Veterinaria El Ganadero</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</si>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</sst>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100A]* #,##0.00_-;\-[$Q-100A]* #,##0.00_-;_-[$Q-100A]* &quot;-&quot;??_-;_-@_-"/>
  </numFmts>
  <fonts count="3" x14ac:knownFonts="1">
    <font>
      <sz val="11"/>
      <color theme="1"/>
      <name val="Aptos Narrow"/>
      <family val="2"/>
      <scheme val="minor"/>
    </font>
    <font>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5">
    <xf numFmtId="0" fontId="0" fillId="0" borderId="0" xfId="0"/>
    <xf numFmtId="164" fontId="0" fillId="0" borderId="0" xfId="1" applyNumberFormat="1" applyFont="1"/>
    <xf numFmtId="0" fontId="0" fillId="0" borderId="0" xfId="1" applyNumberFormat="1" applyFont="1"/>
    <xf numFmtId="164" fontId="0" fillId="0" borderId="0" xfId="0" applyNumberFormat="1"/>
    <xf numFmtId="0" fontId="2" fillId="0" borderId="0" xfId="0" applyFont="1"/>
  </cellXfs>
  <cellStyles count="2">
    <cellStyle name="Moneda" xfId="1" builtinId="4"/>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microsoft.com/office/2007/relationships/slicerCache" Target="slicerCaches/slicerCache2.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1">
                <a:solidFill>
                  <a:schemeClr val="accent6"/>
                </a:solidFill>
                <a:latin typeface="Arial" panose="020B0604020202020204" pitchFamily="34" charset="0"/>
                <a:cs typeface="Arial" panose="020B0604020202020204" pitchFamily="34" charset="0"/>
              </a:rPr>
              <a:t>Ventas</a:t>
            </a:r>
            <a:r>
              <a:rPr lang="es-MX" sz="1400" b="1" baseline="0">
                <a:solidFill>
                  <a:schemeClr val="accent6"/>
                </a:solidFill>
                <a:latin typeface="Arial" panose="020B0604020202020204" pitchFamily="34" charset="0"/>
                <a:cs typeface="Arial" panose="020B0604020202020204" pitchFamily="34" charset="0"/>
              </a:rPr>
              <a:t> Granja</a:t>
            </a:r>
            <a:endParaRPr lang="es-MX" b="1">
              <a:solidFill>
                <a:schemeClr val="accent6"/>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0.26502690288713904"/>
          <c:y val="0.13930555555555557"/>
          <c:w val="0.70441754155730529"/>
          <c:h val="0.77736111111111106"/>
        </c:manualLayout>
      </c:layout>
      <c:barChart>
        <c:barDir val="bar"/>
        <c:grouping val="clustered"/>
        <c:varyColors val="0"/>
        <c:ser>
          <c:idx val="0"/>
          <c:order val="0"/>
          <c:spPr>
            <a:solidFill>
              <a:schemeClr val="accent6">
                <a:lumMod val="60000"/>
                <a:lumOff val="40000"/>
              </a:schemeClr>
            </a:solidFill>
            <a:ln>
              <a:solidFill>
                <a:schemeClr val="accent6">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6"/>
                    </a:solidFill>
                    <a:latin typeface="Arial" panose="020B0604020202020204" pitchFamily="34" charset="0"/>
                    <a:ea typeface="+mn-ea"/>
                    <a:cs typeface="Arial" panose="020B0604020202020204" pitchFamily="34" charset="0"/>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DataSet!$H$6:$H$13</c:f>
              <c:strCache>
                <c:ptCount val="8"/>
                <c:pt idx="0">
                  <c:v>Granja El Amanecer</c:v>
                </c:pt>
                <c:pt idx="1">
                  <c:v>Finca La Esperanza</c:v>
                </c:pt>
                <c:pt idx="2">
                  <c:v>Granja El Amanecer</c:v>
                </c:pt>
                <c:pt idx="3">
                  <c:v>Granja Los Pinos</c:v>
                </c:pt>
                <c:pt idx="4">
                  <c:v>Agropecuaria La Ceiba</c:v>
                </c:pt>
                <c:pt idx="5">
                  <c:v>Finca El Portal</c:v>
                </c:pt>
                <c:pt idx="6">
                  <c:v>Agropecuaria Del Sur</c:v>
                </c:pt>
                <c:pt idx="7">
                  <c:v>Finca Las Victorias</c:v>
                </c:pt>
              </c:strCache>
            </c:strRef>
          </c:cat>
          <c:val>
            <c:numRef>
              <c:f>DataSet!$I$6:$I$13</c:f>
              <c:numCache>
                <c:formatCode>General</c:formatCode>
                <c:ptCount val="8"/>
                <c:pt idx="0">
                  <c:v>67200</c:v>
                </c:pt>
                <c:pt idx="1">
                  <c:v>4480</c:v>
                </c:pt>
                <c:pt idx="2">
                  <c:v>6620</c:v>
                </c:pt>
                <c:pt idx="3">
                  <c:v>33600</c:v>
                </c:pt>
                <c:pt idx="4">
                  <c:v>19600</c:v>
                </c:pt>
                <c:pt idx="5">
                  <c:v>1344</c:v>
                </c:pt>
                <c:pt idx="6">
                  <c:v>22960</c:v>
                </c:pt>
                <c:pt idx="7">
                  <c:v>0</c:v>
                </c:pt>
              </c:numCache>
            </c:numRef>
          </c:val>
          <c:extLst>
            <c:ext xmlns:c16="http://schemas.microsoft.com/office/drawing/2014/chart" uri="{C3380CC4-5D6E-409C-BE32-E72D297353CC}">
              <c16:uniqueId val="{00000000-C616-40B6-91F2-3608CC78D016}"/>
            </c:ext>
          </c:extLst>
        </c:ser>
        <c:dLbls>
          <c:dLblPos val="outEnd"/>
          <c:showLegendKey val="0"/>
          <c:showVal val="1"/>
          <c:showCatName val="0"/>
          <c:showSerName val="0"/>
          <c:showPercent val="0"/>
          <c:showBubbleSize val="0"/>
        </c:dLbls>
        <c:gapWidth val="182"/>
        <c:axId val="19437104"/>
        <c:axId val="19435664"/>
      </c:barChart>
      <c:catAx>
        <c:axId val="1943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6"/>
                </a:solidFill>
                <a:latin typeface="Arial" panose="020B0604020202020204" pitchFamily="34" charset="0"/>
                <a:ea typeface="+mn-ea"/>
                <a:cs typeface="Arial" panose="020B0604020202020204" pitchFamily="34" charset="0"/>
              </a:defRPr>
            </a:pPr>
            <a:endParaRPr lang="es-MX"/>
          </a:p>
        </c:txPr>
        <c:crossAx val="19435664"/>
        <c:crosses val="autoZero"/>
        <c:auto val="1"/>
        <c:lblAlgn val="ctr"/>
        <c:lblOffset val="100"/>
        <c:noMultiLvlLbl val="0"/>
      </c:catAx>
      <c:valAx>
        <c:axId val="19435664"/>
        <c:scaling>
          <c:orientation val="minMax"/>
        </c:scaling>
        <c:delete val="1"/>
        <c:axPos val="b"/>
        <c:numFmt formatCode="General" sourceLinked="1"/>
        <c:majorTickMark val="none"/>
        <c:minorTickMark val="none"/>
        <c:tickLblPos val="nextTo"/>
        <c:crossAx val="194371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1">
                <a:solidFill>
                  <a:schemeClr val="accent6"/>
                </a:solidFill>
                <a:latin typeface="Arial" panose="020B0604020202020204" pitchFamily="34" charset="0"/>
                <a:cs typeface="Arial" panose="020B0604020202020204" pitchFamily="34" charset="0"/>
              </a:rPr>
              <a:t>Distribucion</a:t>
            </a:r>
            <a:r>
              <a:rPr lang="es-MX" sz="1400" b="1" baseline="0">
                <a:solidFill>
                  <a:schemeClr val="accent6"/>
                </a:solidFill>
                <a:latin typeface="Arial" panose="020B0604020202020204" pitchFamily="34" charset="0"/>
                <a:cs typeface="Arial" panose="020B0604020202020204" pitchFamily="34" charset="0"/>
              </a:rPr>
              <a:t> Gasto Laboral por Granja</a:t>
            </a:r>
            <a:endParaRPr lang="es-MX" b="1">
              <a:solidFill>
                <a:schemeClr val="accent6"/>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DataSet!$H$30:$I$36</c15:sqref>
                  </c15:fullRef>
                  <c15:levelRef>
                    <c15:sqref>DataSet!$H$30:$H$36</c15:sqref>
                  </c15:levelRef>
                </c:ext>
              </c:extLst>
              <c:f>DataSet!$H$30:$H$36</c:f>
              <c:strCache>
                <c:ptCount val="7"/>
                <c:pt idx="0">
                  <c:v>Agropecuaria Del Sur</c:v>
                </c:pt>
                <c:pt idx="1">
                  <c:v>Agropecuaria La Ceiba</c:v>
                </c:pt>
                <c:pt idx="2">
                  <c:v>Finca La Esperanza</c:v>
                </c:pt>
                <c:pt idx="3">
                  <c:v>Finca Las Victorias</c:v>
                </c:pt>
                <c:pt idx="4">
                  <c:v>Granja El Amanecer</c:v>
                </c:pt>
                <c:pt idx="5">
                  <c:v>Granja El Amanecer</c:v>
                </c:pt>
                <c:pt idx="6">
                  <c:v>Granja El Amanecer</c:v>
                </c:pt>
              </c:strCache>
            </c:strRef>
          </c:cat>
          <c:val>
            <c:numRef>
              <c:f>DataSet!$J$30:$J$36</c:f>
              <c:numCache>
                <c:formatCode>_-[$Q-100A]* #,##0.00_-;\-[$Q-100A]* #,##0.00_-;_-[$Q-100A]* "-"??_-;_-@_-</c:formatCode>
                <c:ptCount val="7"/>
                <c:pt idx="0">
                  <c:v>5600</c:v>
                </c:pt>
                <c:pt idx="1">
                  <c:v>4420</c:v>
                </c:pt>
                <c:pt idx="2">
                  <c:v>4200</c:v>
                </c:pt>
                <c:pt idx="3">
                  <c:v>7650</c:v>
                </c:pt>
                <c:pt idx="4">
                  <c:v>22600</c:v>
                </c:pt>
                <c:pt idx="5">
                  <c:v>17450</c:v>
                </c:pt>
                <c:pt idx="6">
                  <c:v>4300</c:v>
                </c:pt>
              </c:numCache>
            </c:numRef>
          </c:val>
          <c:extLst>
            <c:ext xmlns:c16="http://schemas.microsoft.com/office/drawing/2014/chart" uri="{C3380CC4-5D6E-409C-BE32-E72D297353CC}">
              <c16:uniqueId val="{00000000-3B7F-4D1F-AEB5-83EEE9CA07D4}"/>
            </c:ext>
          </c:extLst>
        </c:ser>
        <c:dLbls>
          <c:dLblPos val="outEnd"/>
          <c:showLegendKey val="0"/>
          <c:showVal val="1"/>
          <c:showCatName val="0"/>
          <c:showSerName val="0"/>
          <c:showPercent val="0"/>
          <c:showBubbleSize val="0"/>
        </c:dLbls>
        <c:gapWidth val="219"/>
        <c:overlap val="-27"/>
        <c:axId val="2090263007"/>
        <c:axId val="2090263487"/>
      </c:barChart>
      <c:catAx>
        <c:axId val="209026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s-MX"/>
          </a:p>
        </c:txPr>
        <c:crossAx val="2090263487"/>
        <c:crosses val="autoZero"/>
        <c:auto val="1"/>
        <c:lblAlgn val="ctr"/>
        <c:lblOffset val="100"/>
        <c:noMultiLvlLbl val="0"/>
      </c:catAx>
      <c:valAx>
        <c:axId val="2090263487"/>
        <c:scaling>
          <c:orientation val="minMax"/>
        </c:scaling>
        <c:delete val="1"/>
        <c:axPos val="l"/>
        <c:numFmt formatCode="_-[$Q-100A]* #,##0.00_-;\-[$Q-100A]* #,##0.00_-;_-[$Q-100A]* &quot;-&quot;??_-;_-@_-" sourceLinked="1"/>
        <c:majorTickMark val="none"/>
        <c:minorTickMark val="none"/>
        <c:tickLblPos val="nextTo"/>
        <c:crossAx val="209026300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s-MX" sz="1400">
                <a:solidFill>
                  <a:schemeClr val="accent6"/>
                </a:solidFill>
                <a:latin typeface="Arial" panose="020B0604020202020204" pitchFamily="34" charset="0"/>
                <a:cs typeface="Arial" panose="020B0604020202020204" pitchFamily="34" charset="0"/>
              </a:rPr>
              <a:t>Rendimiento Cultivos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2.8748937606367982E-2"/>
          <c:y val="7.5453873253728446E-2"/>
          <c:w val="0.94250212478726403"/>
          <c:h val="0.66977121482088897"/>
        </c:manualLayout>
      </c:layout>
      <c:barChart>
        <c:barDir val="col"/>
        <c:grouping val="clustered"/>
        <c:varyColors val="0"/>
        <c:ser>
          <c:idx val="0"/>
          <c:order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DataSet!$H$40:$H$48</c:f>
              <c:strCache>
                <c:ptCount val="9"/>
                <c:pt idx="0">
                  <c:v>Sorgo (Forraje)</c:v>
                </c:pt>
                <c:pt idx="1">
                  <c:v>Cafe</c:v>
                </c:pt>
                <c:pt idx="2">
                  <c:v>Aguacate</c:v>
                </c:pt>
                <c:pt idx="3">
                  <c:v>Papa</c:v>
                </c:pt>
                <c:pt idx="4">
                  <c:v>Zanahoria</c:v>
                </c:pt>
                <c:pt idx="5">
                  <c:v>Maiz</c:v>
                </c:pt>
                <c:pt idx="6">
                  <c:v>Maiz (Segunda)</c:v>
                </c:pt>
                <c:pt idx="7">
                  <c:v>Frijol</c:v>
                </c:pt>
                <c:pt idx="8">
                  <c:v>Tomate</c:v>
                </c:pt>
              </c:strCache>
            </c:strRef>
          </c:cat>
          <c:val>
            <c:numRef>
              <c:f>DataSet!$I$40:$I$48</c:f>
              <c:numCache>
                <c:formatCode>_-[$Q-100A]* #,##0.00_-;\-[$Q-100A]* #,##0.00_-;_-[$Q-100A]* "-"??_-;_-@_-</c:formatCode>
                <c:ptCount val="9"/>
                <c:pt idx="0">
                  <c:v>1500</c:v>
                </c:pt>
                <c:pt idx="1">
                  <c:v>1200</c:v>
                </c:pt>
                <c:pt idx="2">
                  <c:v>1000</c:v>
                </c:pt>
                <c:pt idx="3">
                  <c:v>800</c:v>
                </c:pt>
                <c:pt idx="4">
                  <c:v>600</c:v>
                </c:pt>
                <c:pt idx="5">
                  <c:v>500.5</c:v>
                </c:pt>
                <c:pt idx="6">
                  <c:v>450</c:v>
                </c:pt>
                <c:pt idx="7">
                  <c:v>300</c:v>
                </c:pt>
                <c:pt idx="8">
                  <c:v>150.19999999999999</c:v>
                </c:pt>
              </c:numCache>
            </c:numRef>
          </c:val>
          <c:extLst>
            <c:ext xmlns:c16="http://schemas.microsoft.com/office/drawing/2014/chart" uri="{C3380CC4-5D6E-409C-BE32-E72D297353CC}">
              <c16:uniqueId val="{00000000-8B59-4436-8F9A-2F56E207D1B6}"/>
            </c:ext>
          </c:extLst>
        </c:ser>
        <c:dLbls>
          <c:showLegendKey val="0"/>
          <c:showVal val="0"/>
          <c:showCatName val="0"/>
          <c:showSerName val="0"/>
          <c:showPercent val="0"/>
          <c:showBubbleSize val="0"/>
        </c:dLbls>
        <c:gapWidth val="355"/>
        <c:overlap val="-70"/>
        <c:axId val="290262464"/>
        <c:axId val="290260544"/>
      </c:barChart>
      <c:catAx>
        <c:axId val="29026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90260544"/>
        <c:crosses val="autoZero"/>
        <c:auto val="1"/>
        <c:lblAlgn val="ctr"/>
        <c:lblOffset val="100"/>
        <c:noMultiLvlLbl val="0"/>
      </c:catAx>
      <c:valAx>
        <c:axId val="290260544"/>
        <c:scaling>
          <c:orientation val="minMax"/>
        </c:scaling>
        <c:delete val="1"/>
        <c:axPos val="l"/>
        <c:numFmt formatCode="_-[$Q-100A]* #,##0.00_-;\-[$Q-100A]* #,##0.00_-;_-[$Q-100A]* &quot;-&quot;??_-;_-@_-" sourceLinked="1"/>
        <c:majorTickMark val="none"/>
        <c:minorTickMark val="none"/>
        <c:tickLblPos val="nextTo"/>
        <c:crossAx val="2902624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s-MX" sz="1400" b="1">
                <a:solidFill>
                  <a:schemeClr val="accent6"/>
                </a:solidFill>
                <a:latin typeface="Arial" panose="020B0604020202020204" pitchFamily="34" charset="0"/>
                <a:cs typeface="Arial" panose="020B0604020202020204" pitchFamily="34" charset="0"/>
              </a:rPr>
              <a:t>Gasto</a:t>
            </a:r>
            <a:r>
              <a:rPr lang="es-MX" sz="1400" b="1" baseline="0">
                <a:solidFill>
                  <a:schemeClr val="accent6"/>
                </a:solidFill>
                <a:latin typeface="Arial" panose="020B0604020202020204" pitchFamily="34" charset="0"/>
                <a:cs typeface="Arial" panose="020B0604020202020204" pitchFamily="34" charset="0"/>
              </a:rPr>
              <a:t> Insumos PRoveedor</a:t>
            </a:r>
            <a:endParaRPr lang="es-MX" b="1">
              <a:solidFill>
                <a:schemeClr val="accent6"/>
              </a:solidFill>
              <a:latin typeface="Arial" panose="020B0604020202020204" pitchFamily="34" charset="0"/>
              <a:cs typeface="Arial" panose="020B0604020202020204" pitchFamily="34" charset="0"/>
            </a:endParaRPr>
          </a:p>
        </c:rich>
      </c:tx>
      <c:layout>
        <c:manualLayout>
          <c:xMode val="edge"/>
          <c:yMode val="edge"/>
          <c:x val="0.40453925046353412"/>
          <c:y val="5.329189873220431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s-MX"/>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AE2-4D5E-BE74-4642C99B292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AE2-4D5E-BE74-4642C99B292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AE2-4D5E-BE74-4642C99B292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AE2-4D5E-BE74-4642C99B292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AE2-4D5E-BE74-4642C99B292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0AE2-4D5E-BE74-4642C99B2922}"/>
              </c:ext>
            </c:extLst>
          </c:dPt>
          <c:dLbls>
            <c:dLbl>
              <c:idx val="0"/>
              <c:layout>
                <c:manualLayout>
                  <c:x val="0.19575267651916858"/>
                  <c:y val="7.40889273341881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MX"/>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E2-4D5E-BE74-4642C99B2922}"/>
                </c:ext>
              </c:extLst>
            </c:dLbl>
            <c:dLbl>
              <c:idx val="1"/>
              <c:layout>
                <c:manualLayout>
                  <c:x val="0.12307372529897165"/>
                  <c:y val="-3.6063449130814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s-MX"/>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E2-4D5E-BE74-4642C99B2922}"/>
                </c:ext>
              </c:extLst>
            </c:dLbl>
            <c:dLbl>
              <c:idx val="2"/>
              <c:layout>
                <c:manualLayout>
                  <c:x val="-6.7231478988306961E-2"/>
                  <c:y val="4.85489796909309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s-MX"/>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E2-4D5E-BE74-4642C99B2922}"/>
                </c:ext>
              </c:extLst>
            </c:dLbl>
            <c:dLbl>
              <c:idx val="3"/>
              <c:layout>
                <c:manualLayout>
                  <c:x val="-0.21842044717024542"/>
                  <c:y val="0.148201833025511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s-MX"/>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E2-4D5E-BE74-4642C99B2922}"/>
                </c:ext>
              </c:extLst>
            </c:dLbl>
            <c:dLbl>
              <c:idx val="4"/>
              <c:layout>
                <c:manualLayout>
                  <c:x val="-0.26870796050461432"/>
                  <c:y val="-9.832924802073648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s-MX"/>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E2-4D5E-BE74-4642C99B2922}"/>
                </c:ext>
              </c:extLst>
            </c:dLbl>
            <c:dLbl>
              <c:idx val="5"/>
              <c:layout>
                <c:manualLayout>
                  <c:x val="-0.14373444744455824"/>
                  <c:y val="-8.3248060300772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s-MX"/>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AE2-4D5E-BE74-4642C99B2922}"/>
                </c:ext>
              </c:extLst>
            </c:dLbl>
            <c:spPr>
              <a:noFill/>
              <a:ln>
                <a:noFill/>
              </a:ln>
              <a:effectLst/>
            </c:sp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DataSet!$H$53:$H$58</c:f>
              <c:strCache>
                <c:ptCount val="6"/>
                <c:pt idx="0">
                  <c:v>Concentrados El Corral</c:v>
                </c:pt>
                <c:pt idx="1">
                  <c:v>Fertilizantes De Guatemala (FERTIGUA)</c:v>
                </c:pt>
                <c:pt idx="2">
                  <c:v>Semillas Del Tropico</c:v>
                </c:pt>
                <c:pt idx="3">
                  <c:v>Combustibles Del Sur (Distribuidor)</c:v>
                </c:pt>
                <c:pt idx="4">
                  <c:v>AgroInsumos S.A.</c:v>
                </c:pt>
                <c:pt idx="5">
                  <c:v>Veterinaria El Ganadero</c:v>
                </c:pt>
              </c:strCache>
            </c:strRef>
          </c:cat>
          <c:val>
            <c:numRef>
              <c:f>DataSet!$I$53:$I$58</c:f>
              <c:numCache>
                <c:formatCode>_-[$Q-100A]* #,##0.00_-;\-[$Q-100A]* #,##0.00_-;_-[$Q-100A]* "-"??_-;_-@_-</c:formatCode>
                <c:ptCount val="6"/>
                <c:pt idx="0">
                  <c:v>38800</c:v>
                </c:pt>
                <c:pt idx="1">
                  <c:v>35000</c:v>
                </c:pt>
                <c:pt idx="2">
                  <c:v>24000</c:v>
                </c:pt>
                <c:pt idx="3">
                  <c:v>15000</c:v>
                </c:pt>
                <c:pt idx="4">
                  <c:v>8700</c:v>
                </c:pt>
                <c:pt idx="5">
                  <c:v>8500</c:v>
                </c:pt>
              </c:numCache>
            </c:numRef>
          </c:val>
          <c:extLst>
            <c:ext xmlns:c16="http://schemas.microsoft.com/office/drawing/2014/chart" uri="{C3380CC4-5D6E-409C-BE32-E72D297353CC}">
              <c16:uniqueId val="{0000000C-0AE2-4D5E-BE74-4642C99B2922}"/>
            </c:ext>
          </c:extLst>
        </c:ser>
        <c:dLbls>
          <c:dLblPos val="bestFit"/>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600074</xdr:colOff>
      <xdr:row>1</xdr:row>
      <xdr:rowOff>9524</xdr:rowOff>
    </xdr:from>
    <xdr:to>
      <xdr:col>17</xdr:col>
      <xdr:colOff>38099</xdr:colOff>
      <xdr:row>3</xdr:row>
      <xdr:rowOff>152399</xdr:rowOff>
    </xdr:to>
    <xdr:sp macro="" textlink="">
      <xdr:nvSpPr>
        <xdr:cNvPr id="2" name="Rectangle: Rounded Corners 1">
          <a:extLst>
            <a:ext uri="{FF2B5EF4-FFF2-40B4-BE49-F238E27FC236}">
              <a16:creationId xmlns:a16="http://schemas.microsoft.com/office/drawing/2014/main" id="{0320B45B-AE89-88D9-227C-486AABF52B1F}"/>
            </a:ext>
          </a:extLst>
        </xdr:cNvPr>
        <xdr:cNvSpPr/>
      </xdr:nvSpPr>
      <xdr:spPr>
        <a:xfrm>
          <a:off x="600074" y="190499"/>
          <a:ext cx="9801225" cy="5048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s-MX" sz="2400" b="1">
              <a:solidFill>
                <a:schemeClr val="accent6"/>
              </a:solidFill>
              <a:latin typeface="Arial" panose="020B0604020202020204" pitchFamily="34" charset="0"/>
              <a:cs typeface="Arial" panose="020B0604020202020204" pitchFamily="34" charset="0"/>
            </a:rPr>
            <a:t>DashBoard Granjas</a:t>
          </a:r>
          <a:endParaRPr lang="es-MX" sz="18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1</xdr:col>
      <xdr:colOff>0</xdr:colOff>
      <xdr:row>4</xdr:row>
      <xdr:rowOff>19049</xdr:rowOff>
    </xdr:from>
    <xdr:to>
      <xdr:col>4</xdr:col>
      <xdr:colOff>581025</xdr:colOff>
      <xdr:row>9</xdr:row>
      <xdr:rowOff>142875</xdr:rowOff>
    </xdr:to>
    <xdr:sp macro="" textlink="DataSet!C2">
      <xdr:nvSpPr>
        <xdr:cNvPr id="3" name="Rectangle: Rounded Corners 2">
          <a:extLst>
            <a:ext uri="{FF2B5EF4-FFF2-40B4-BE49-F238E27FC236}">
              <a16:creationId xmlns:a16="http://schemas.microsoft.com/office/drawing/2014/main" id="{CDFB312E-7A19-45E1-BCCF-9AEBB767606A}"/>
            </a:ext>
          </a:extLst>
        </xdr:cNvPr>
        <xdr:cNvSpPr/>
      </xdr:nvSpPr>
      <xdr:spPr>
        <a:xfrm>
          <a:off x="609600" y="742949"/>
          <a:ext cx="2409825" cy="10287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3741F2C-2A46-4FE8-9755-1AC3B4CBC8CB}" type="TxLink">
            <a:rPr lang="en-US" sz="2000" b="1" i="0" u="none" strike="noStrike">
              <a:solidFill>
                <a:schemeClr val="accent6"/>
              </a:solidFill>
              <a:latin typeface="Arial" panose="020B0604020202020204" pitchFamily="34" charset="0"/>
              <a:cs typeface="Arial" panose="020B0604020202020204" pitchFamily="34" charset="0"/>
            </a:rPr>
            <a:pPr algn="ctr"/>
            <a:t> Q155,804.00 </a:t>
          </a:fld>
          <a:endParaRPr lang="es-MX" sz="36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5</xdr:col>
      <xdr:colOff>19050</xdr:colOff>
      <xdr:row>4</xdr:row>
      <xdr:rowOff>28574</xdr:rowOff>
    </xdr:from>
    <xdr:to>
      <xdr:col>8</xdr:col>
      <xdr:colOff>600075</xdr:colOff>
      <xdr:row>9</xdr:row>
      <xdr:rowOff>152400</xdr:rowOff>
    </xdr:to>
    <xdr:sp macro="" textlink="DataSet!C4">
      <xdr:nvSpPr>
        <xdr:cNvPr id="4" name="Rectangle: Rounded Corners 3">
          <a:extLst>
            <a:ext uri="{FF2B5EF4-FFF2-40B4-BE49-F238E27FC236}">
              <a16:creationId xmlns:a16="http://schemas.microsoft.com/office/drawing/2014/main" id="{75918270-F90C-47FE-9C01-FBF92BF1F8DF}"/>
            </a:ext>
          </a:extLst>
        </xdr:cNvPr>
        <xdr:cNvSpPr/>
      </xdr:nvSpPr>
      <xdr:spPr>
        <a:xfrm>
          <a:off x="3067050" y="752474"/>
          <a:ext cx="2409825" cy="10287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980735C-4A75-4BE3-AA7C-7AF3CA9C57FA}" type="TxLink">
            <a:rPr lang="en-US" sz="2000" b="1" i="0" u="none" strike="noStrike">
              <a:solidFill>
                <a:schemeClr val="accent6"/>
              </a:solidFill>
              <a:latin typeface="Arial" panose="020B0604020202020204" pitchFamily="34" charset="0"/>
              <a:cs typeface="Arial" panose="020B0604020202020204" pitchFamily="34" charset="0"/>
            </a:rPr>
            <a:pPr algn="ctr"/>
            <a:t> Q66,220.00 </a:t>
          </a:fld>
          <a:endParaRPr lang="es-MX" sz="36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1</xdr:col>
      <xdr:colOff>28575</xdr:colOff>
      <xdr:row>10</xdr:row>
      <xdr:rowOff>38099</xdr:rowOff>
    </xdr:from>
    <xdr:to>
      <xdr:col>8</xdr:col>
      <xdr:colOff>561975</xdr:colOff>
      <xdr:row>19</xdr:row>
      <xdr:rowOff>19050</xdr:rowOff>
    </xdr:to>
    <xdr:sp macro="" textlink="">
      <xdr:nvSpPr>
        <xdr:cNvPr id="5" name="Rectangle: Rounded Corners 4">
          <a:extLst>
            <a:ext uri="{FF2B5EF4-FFF2-40B4-BE49-F238E27FC236}">
              <a16:creationId xmlns:a16="http://schemas.microsoft.com/office/drawing/2014/main" id="{819A36FF-E46D-4F2D-8142-129F167AF98A}"/>
            </a:ext>
          </a:extLst>
        </xdr:cNvPr>
        <xdr:cNvSpPr/>
      </xdr:nvSpPr>
      <xdr:spPr>
        <a:xfrm>
          <a:off x="638175" y="1847849"/>
          <a:ext cx="4800600" cy="16097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s-MX" sz="18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9</xdr:col>
      <xdr:colOff>38100</xdr:colOff>
      <xdr:row>4</xdr:row>
      <xdr:rowOff>38099</xdr:rowOff>
    </xdr:from>
    <xdr:to>
      <xdr:col>13</xdr:col>
      <xdr:colOff>9525</xdr:colOff>
      <xdr:row>9</xdr:row>
      <xdr:rowOff>161925</xdr:rowOff>
    </xdr:to>
    <xdr:sp macro="" textlink="DataSet!C6">
      <xdr:nvSpPr>
        <xdr:cNvPr id="6" name="Rectangle: Rounded Corners 5">
          <a:extLst>
            <a:ext uri="{FF2B5EF4-FFF2-40B4-BE49-F238E27FC236}">
              <a16:creationId xmlns:a16="http://schemas.microsoft.com/office/drawing/2014/main" id="{0BA9F83A-BF09-D62D-E29D-0222AA6AE002}"/>
            </a:ext>
          </a:extLst>
        </xdr:cNvPr>
        <xdr:cNvSpPr/>
      </xdr:nvSpPr>
      <xdr:spPr>
        <a:xfrm>
          <a:off x="5509089" y="757290"/>
          <a:ext cx="2402975" cy="102281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fld id="{FE3B20D6-D9AC-4F55-BA38-3F1D7BC33382}" type="TxLink">
            <a:rPr lang="en-US" sz="2000" b="1" i="0" u="none" strike="noStrike">
              <a:solidFill>
                <a:schemeClr val="accent6"/>
              </a:solidFill>
              <a:latin typeface="Arial" panose="020B0604020202020204" pitchFamily="34" charset="0"/>
              <a:cs typeface="Arial" panose="020B0604020202020204" pitchFamily="34" charset="0"/>
            </a:rPr>
            <a:pPr algn="r"/>
            <a:t>10</a:t>
          </a:fld>
          <a:endParaRPr lang="es-MX" sz="36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13</xdr:col>
      <xdr:colOff>47625</xdr:colOff>
      <xdr:row>4</xdr:row>
      <xdr:rowOff>47624</xdr:rowOff>
    </xdr:from>
    <xdr:to>
      <xdr:col>17</xdr:col>
      <xdr:colOff>19050</xdr:colOff>
      <xdr:row>9</xdr:row>
      <xdr:rowOff>171450</xdr:rowOff>
    </xdr:to>
    <xdr:sp macro="" textlink="DataSet!C8">
      <xdr:nvSpPr>
        <xdr:cNvPr id="7" name="Rectangle: Rounded Corners 6">
          <a:extLst>
            <a:ext uri="{FF2B5EF4-FFF2-40B4-BE49-F238E27FC236}">
              <a16:creationId xmlns:a16="http://schemas.microsoft.com/office/drawing/2014/main" id="{62365BEB-AF65-45E9-BE8C-2E4A1D0A9362}"/>
            </a:ext>
          </a:extLst>
        </xdr:cNvPr>
        <xdr:cNvSpPr/>
      </xdr:nvSpPr>
      <xdr:spPr>
        <a:xfrm>
          <a:off x="7972425" y="771524"/>
          <a:ext cx="2409825" cy="10287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2E2F2F5-25D9-4AE9-BE55-D0DF5A1C4529}" type="TxLink">
            <a:rPr lang="en-US" sz="2000" b="1" i="0" u="none" strike="noStrike">
              <a:solidFill>
                <a:schemeClr val="accent6"/>
              </a:solidFill>
              <a:latin typeface="Arial" panose="020B0604020202020204" pitchFamily="34" charset="0"/>
              <a:cs typeface="Arial" panose="020B0604020202020204" pitchFamily="34" charset="0"/>
            </a:rPr>
            <a:pPr algn="ctr"/>
            <a:t> Q130,000.00 </a:t>
          </a:fld>
          <a:endParaRPr lang="es-MX" sz="36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9</xdr:col>
      <xdr:colOff>57150</xdr:colOff>
      <xdr:row>10</xdr:row>
      <xdr:rowOff>47624</xdr:rowOff>
    </xdr:from>
    <xdr:to>
      <xdr:col>16</xdr:col>
      <xdr:colOff>590550</xdr:colOff>
      <xdr:row>19</xdr:row>
      <xdr:rowOff>28575</xdr:rowOff>
    </xdr:to>
    <xdr:sp macro="" textlink="">
      <xdr:nvSpPr>
        <xdr:cNvPr id="9" name="Rectangle: Rounded Corners 8">
          <a:extLst>
            <a:ext uri="{FF2B5EF4-FFF2-40B4-BE49-F238E27FC236}">
              <a16:creationId xmlns:a16="http://schemas.microsoft.com/office/drawing/2014/main" id="{126AFB5F-3E85-47FA-B09B-2B0A254C2BCC}"/>
            </a:ext>
          </a:extLst>
        </xdr:cNvPr>
        <xdr:cNvSpPr/>
      </xdr:nvSpPr>
      <xdr:spPr>
        <a:xfrm>
          <a:off x="5560483" y="1882068"/>
          <a:ext cx="4813771" cy="16319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s-MX" sz="18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1</xdr:col>
      <xdr:colOff>38100</xdr:colOff>
      <xdr:row>19</xdr:row>
      <xdr:rowOff>114299</xdr:rowOff>
    </xdr:from>
    <xdr:to>
      <xdr:col>8</xdr:col>
      <xdr:colOff>571500</xdr:colOff>
      <xdr:row>28</xdr:row>
      <xdr:rowOff>95250</xdr:rowOff>
    </xdr:to>
    <xdr:sp macro="" textlink="">
      <xdr:nvSpPr>
        <xdr:cNvPr id="10" name="Rectangle: Rounded Corners 9">
          <a:extLst>
            <a:ext uri="{FF2B5EF4-FFF2-40B4-BE49-F238E27FC236}">
              <a16:creationId xmlns:a16="http://schemas.microsoft.com/office/drawing/2014/main" id="{0EE9499B-2B26-47B3-9B85-0FC537A73664}"/>
            </a:ext>
          </a:extLst>
        </xdr:cNvPr>
        <xdr:cNvSpPr/>
      </xdr:nvSpPr>
      <xdr:spPr>
        <a:xfrm>
          <a:off x="647700" y="3619499"/>
          <a:ext cx="4800600" cy="164130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s-MX" sz="18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9</xdr:col>
      <xdr:colOff>57150</xdr:colOff>
      <xdr:row>19</xdr:row>
      <xdr:rowOff>95249</xdr:rowOff>
    </xdr:from>
    <xdr:to>
      <xdr:col>16</xdr:col>
      <xdr:colOff>590550</xdr:colOff>
      <xdr:row>28</xdr:row>
      <xdr:rowOff>76200</xdr:rowOff>
    </xdr:to>
    <xdr:sp macro="" textlink="">
      <xdr:nvSpPr>
        <xdr:cNvPr id="11" name="Rectangle: Rounded Corners 10">
          <a:extLst>
            <a:ext uri="{FF2B5EF4-FFF2-40B4-BE49-F238E27FC236}">
              <a16:creationId xmlns:a16="http://schemas.microsoft.com/office/drawing/2014/main" id="{8642B628-DB92-4A7F-BAE9-86984A15D7B5}"/>
            </a:ext>
          </a:extLst>
        </xdr:cNvPr>
        <xdr:cNvSpPr/>
      </xdr:nvSpPr>
      <xdr:spPr>
        <a:xfrm>
          <a:off x="5543550" y="3533774"/>
          <a:ext cx="4800600" cy="16097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s-MX" sz="18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1</xdr:col>
      <xdr:colOff>55168</xdr:colOff>
      <xdr:row>9</xdr:row>
      <xdr:rowOff>158537</xdr:rowOff>
    </xdr:from>
    <xdr:to>
      <xdr:col>8</xdr:col>
      <xdr:colOff>373329</xdr:colOff>
      <xdr:row>19</xdr:row>
      <xdr:rowOff>138080</xdr:rowOff>
    </xdr:to>
    <xdr:graphicFrame macro="">
      <xdr:nvGraphicFramePr>
        <xdr:cNvPr id="16" name="Chart 15">
          <a:extLst>
            <a:ext uri="{FF2B5EF4-FFF2-40B4-BE49-F238E27FC236}">
              <a16:creationId xmlns:a16="http://schemas.microsoft.com/office/drawing/2014/main" id="{4FF30C3F-A064-4885-86F1-EFF99B499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9408</xdr:colOff>
      <xdr:row>10</xdr:row>
      <xdr:rowOff>47624</xdr:rowOff>
    </xdr:from>
    <xdr:to>
      <xdr:col>16</xdr:col>
      <xdr:colOff>606776</xdr:colOff>
      <xdr:row>18</xdr:row>
      <xdr:rowOff>174037</xdr:rowOff>
    </xdr:to>
    <xdr:graphicFrame macro="">
      <xdr:nvGraphicFramePr>
        <xdr:cNvPr id="17" name="Chart 16">
          <a:extLst>
            <a:ext uri="{FF2B5EF4-FFF2-40B4-BE49-F238E27FC236}">
              <a16:creationId xmlns:a16="http://schemas.microsoft.com/office/drawing/2014/main" id="{B0F3A3EE-7068-41C9-9204-D68DB91D7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24985</xdr:colOff>
      <xdr:row>19</xdr:row>
      <xdr:rowOff>111332</xdr:rowOff>
    </xdr:from>
    <xdr:to>
      <xdr:col>8</xdr:col>
      <xdr:colOff>599606</xdr:colOff>
      <xdr:row>29</xdr:row>
      <xdr:rowOff>0</xdr:rowOff>
    </xdr:to>
    <xdr:graphicFrame macro="">
      <xdr:nvGraphicFramePr>
        <xdr:cNvPr id="18" name="Chart 17">
          <a:extLst>
            <a:ext uri="{FF2B5EF4-FFF2-40B4-BE49-F238E27FC236}">
              <a16:creationId xmlns:a16="http://schemas.microsoft.com/office/drawing/2014/main" id="{4A0FB5ED-0F30-465D-8C3E-42FB5FD86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18586</xdr:colOff>
      <xdr:row>19</xdr:row>
      <xdr:rowOff>86189</xdr:rowOff>
    </xdr:from>
    <xdr:to>
      <xdr:col>17</xdr:col>
      <xdr:colOff>112164</xdr:colOff>
      <xdr:row>28</xdr:row>
      <xdr:rowOff>81678</xdr:rowOff>
    </xdr:to>
    <xdr:graphicFrame macro="">
      <xdr:nvGraphicFramePr>
        <xdr:cNvPr id="19" name="Chart 18">
          <a:extLst>
            <a:ext uri="{FF2B5EF4-FFF2-40B4-BE49-F238E27FC236}">
              <a16:creationId xmlns:a16="http://schemas.microsoft.com/office/drawing/2014/main" id="{5B92754E-7AB3-493D-89DF-7DAB70C07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368969</xdr:colOff>
      <xdr:row>4</xdr:row>
      <xdr:rowOff>88231</xdr:rowOff>
    </xdr:from>
    <xdr:to>
      <xdr:col>4</xdr:col>
      <xdr:colOff>441158</xdr:colOff>
      <xdr:row>6</xdr:row>
      <xdr:rowOff>24063</xdr:rowOff>
    </xdr:to>
    <xdr:sp macro="" textlink="">
      <xdr:nvSpPr>
        <xdr:cNvPr id="20" name="TextBox 19">
          <a:extLst>
            <a:ext uri="{FF2B5EF4-FFF2-40B4-BE49-F238E27FC236}">
              <a16:creationId xmlns:a16="http://schemas.microsoft.com/office/drawing/2014/main" id="{C8A6B92C-BFCF-80C2-38A5-4BA3A787FCD1}"/>
            </a:ext>
          </a:extLst>
        </xdr:cNvPr>
        <xdr:cNvSpPr txBox="1"/>
      </xdr:nvSpPr>
      <xdr:spPr>
        <a:xfrm>
          <a:off x="978569" y="826168"/>
          <a:ext cx="190098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b="1">
              <a:solidFill>
                <a:schemeClr val="accent6"/>
              </a:solidFill>
              <a:latin typeface="Arial" panose="020B0604020202020204" pitchFamily="34" charset="0"/>
              <a:cs typeface="Arial" panose="020B0604020202020204" pitchFamily="34" charset="0"/>
            </a:rPr>
            <a:t>Monto Total Ventas</a:t>
          </a:r>
          <a:endParaRPr lang="es-MX" sz="11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5</xdr:col>
      <xdr:colOff>264696</xdr:colOff>
      <xdr:row>4</xdr:row>
      <xdr:rowOff>104274</xdr:rowOff>
    </xdr:from>
    <xdr:to>
      <xdr:col>8</xdr:col>
      <xdr:colOff>336885</xdr:colOff>
      <xdr:row>6</xdr:row>
      <xdr:rowOff>40106</xdr:rowOff>
    </xdr:to>
    <xdr:sp macro="" textlink="">
      <xdr:nvSpPr>
        <xdr:cNvPr id="21" name="TextBox 20">
          <a:extLst>
            <a:ext uri="{FF2B5EF4-FFF2-40B4-BE49-F238E27FC236}">
              <a16:creationId xmlns:a16="http://schemas.microsoft.com/office/drawing/2014/main" id="{9A42C3F7-2BDB-46A3-B1E7-70892E963425}"/>
            </a:ext>
          </a:extLst>
        </xdr:cNvPr>
        <xdr:cNvSpPr txBox="1"/>
      </xdr:nvSpPr>
      <xdr:spPr>
        <a:xfrm>
          <a:off x="3312696" y="842211"/>
          <a:ext cx="190098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b="1">
              <a:solidFill>
                <a:schemeClr val="accent6"/>
              </a:solidFill>
              <a:latin typeface="Arial" panose="020B0604020202020204" pitchFamily="34" charset="0"/>
              <a:cs typeface="Arial" panose="020B0604020202020204" pitchFamily="34" charset="0"/>
            </a:rPr>
            <a:t>Total</a:t>
          </a:r>
          <a:r>
            <a:rPr lang="es-MX" sz="1400" b="1" baseline="0">
              <a:solidFill>
                <a:schemeClr val="accent6"/>
              </a:solidFill>
              <a:latin typeface="Arial" panose="020B0604020202020204" pitchFamily="34" charset="0"/>
              <a:cs typeface="Arial" panose="020B0604020202020204" pitchFamily="34" charset="0"/>
            </a:rPr>
            <a:t> Costo Laboral</a:t>
          </a:r>
          <a:endParaRPr lang="es-MX" sz="11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9</xdr:col>
      <xdr:colOff>96252</xdr:colOff>
      <xdr:row>4</xdr:row>
      <xdr:rowOff>80210</xdr:rowOff>
    </xdr:from>
    <xdr:to>
      <xdr:col>11</xdr:col>
      <xdr:colOff>441156</xdr:colOff>
      <xdr:row>8</xdr:row>
      <xdr:rowOff>56146</xdr:rowOff>
    </xdr:to>
    <xdr:sp macro="" textlink="">
      <xdr:nvSpPr>
        <xdr:cNvPr id="22" name="TextBox 21">
          <a:extLst>
            <a:ext uri="{FF2B5EF4-FFF2-40B4-BE49-F238E27FC236}">
              <a16:creationId xmlns:a16="http://schemas.microsoft.com/office/drawing/2014/main" id="{6C032B39-1C5B-40D0-8F8C-3A6B813DCAE1}"/>
            </a:ext>
          </a:extLst>
        </xdr:cNvPr>
        <xdr:cNvSpPr txBox="1"/>
      </xdr:nvSpPr>
      <xdr:spPr>
        <a:xfrm>
          <a:off x="5582652" y="818147"/>
          <a:ext cx="1564104" cy="713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b="1">
              <a:solidFill>
                <a:schemeClr val="accent6"/>
              </a:solidFill>
              <a:latin typeface="Arial" panose="020B0604020202020204" pitchFamily="34" charset="0"/>
              <a:cs typeface="Arial" panose="020B0604020202020204" pitchFamily="34" charset="0"/>
            </a:rPr>
            <a:t>Total</a:t>
          </a:r>
          <a:r>
            <a:rPr lang="es-MX" sz="1400" b="1" baseline="0">
              <a:solidFill>
                <a:schemeClr val="accent6"/>
              </a:solidFill>
              <a:latin typeface="Arial" panose="020B0604020202020204" pitchFamily="34" charset="0"/>
              <a:cs typeface="Arial" panose="020B0604020202020204" pitchFamily="34" charset="0"/>
            </a:rPr>
            <a:t> Cultivos Registrados</a:t>
          </a:r>
          <a:endParaRPr lang="es-MX" sz="11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13</xdr:col>
      <xdr:colOff>136358</xdr:colOff>
      <xdr:row>4</xdr:row>
      <xdr:rowOff>128338</xdr:rowOff>
    </xdr:from>
    <xdr:to>
      <xdr:col>17</xdr:col>
      <xdr:colOff>32083</xdr:colOff>
      <xdr:row>6</xdr:row>
      <xdr:rowOff>64170</xdr:rowOff>
    </xdr:to>
    <xdr:sp macro="" textlink="">
      <xdr:nvSpPr>
        <xdr:cNvPr id="23" name="TextBox 22">
          <a:extLst>
            <a:ext uri="{FF2B5EF4-FFF2-40B4-BE49-F238E27FC236}">
              <a16:creationId xmlns:a16="http://schemas.microsoft.com/office/drawing/2014/main" id="{BA0E920A-65C0-4A78-89FF-10CA92397955}"/>
            </a:ext>
          </a:extLst>
        </xdr:cNvPr>
        <xdr:cNvSpPr txBox="1"/>
      </xdr:nvSpPr>
      <xdr:spPr>
        <a:xfrm>
          <a:off x="8061158" y="866275"/>
          <a:ext cx="23341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b="1">
              <a:solidFill>
                <a:schemeClr val="accent6"/>
              </a:solidFill>
              <a:latin typeface="Arial" panose="020B0604020202020204" pitchFamily="34" charset="0"/>
              <a:cs typeface="Arial" panose="020B0604020202020204" pitchFamily="34" charset="0"/>
            </a:rPr>
            <a:t>Total</a:t>
          </a:r>
          <a:r>
            <a:rPr lang="es-MX" sz="1400" b="1" baseline="0">
              <a:solidFill>
                <a:schemeClr val="accent6"/>
              </a:solidFill>
              <a:latin typeface="Arial" panose="020B0604020202020204" pitchFamily="34" charset="0"/>
              <a:cs typeface="Arial" panose="020B0604020202020204" pitchFamily="34" charset="0"/>
            </a:rPr>
            <a:t> Inventario Insumos</a:t>
          </a:r>
          <a:endParaRPr lang="es-MX" sz="1100" b="1">
            <a:solidFill>
              <a:schemeClr val="accent6"/>
            </a:solidFill>
            <a:latin typeface="Arial" panose="020B0604020202020204" pitchFamily="34" charset="0"/>
            <a:cs typeface="Arial" panose="020B0604020202020204" pitchFamily="34" charset="0"/>
          </a:endParaRPr>
        </a:p>
      </xdr:txBody>
    </xdr:sp>
    <xdr:clientData/>
  </xdr:twoCellAnchor>
  <xdr:twoCellAnchor>
    <xdr:from>
      <xdr:col>17</xdr:col>
      <xdr:colOff>112295</xdr:colOff>
      <xdr:row>2</xdr:row>
      <xdr:rowOff>64169</xdr:rowOff>
    </xdr:from>
    <xdr:to>
      <xdr:col>20</xdr:col>
      <xdr:colOff>368968</xdr:colOff>
      <xdr:row>28</xdr:row>
      <xdr:rowOff>24063</xdr:rowOff>
    </xdr:to>
    <xdr:sp macro="" textlink="">
      <xdr:nvSpPr>
        <xdr:cNvPr id="24" name="Rectangle: Rounded Corners 23">
          <a:extLst>
            <a:ext uri="{FF2B5EF4-FFF2-40B4-BE49-F238E27FC236}">
              <a16:creationId xmlns:a16="http://schemas.microsoft.com/office/drawing/2014/main" id="{F9F356F5-B1E0-3804-9323-5273BBEF94BC}"/>
            </a:ext>
          </a:extLst>
        </xdr:cNvPr>
        <xdr:cNvSpPr/>
      </xdr:nvSpPr>
      <xdr:spPr>
        <a:xfrm>
          <a:off x="10475495" y="433137"/>
          <a:ext cx="2085473" cy="475648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MX" sz="1100"/>
        </a:p>
      </xdr:txBody>
    </xdr:sp>
    <xdr:clientData/>
  </xdr:twoCellAnchor>
  <xdr:twoCellAnchor editAs="absolute">
    <xdr:from>
      <xdr:col>17</xdr:col>
      <xdr:colOff>208548</xdr:colOff>
      <xdr:row>3</xdr:row>
      <xdr:rowOff>8020</xdr:rowOff>
    </xdr:from>
    <xdr:to>
      <xdr:col>20</xdr:col>
      <xdr:colOff>248654</xdr:colOff>
      <xdr:row>15</xdr:row>
      <xdr:rowOff>176463</xdr:rowOff>
    </xdr:to>
    <mc:AlternateContent xmlns:mc="http://schemas.openxmlformats.org/markup-compatibility/2006" xmlns:sle15="http://schemas.microsoft.com/office/drawing/2012/slicer">
      <mc:Choice Requires="sle15">
        <xdr:graphicFrame macro="">
          <xdr:nvGraphicFramePr>
            <xdr:cNvPr id="27" name="CostoTotalPorCargo">
              <a:extLst>
                <a:ext uri="{FF2B5EF4-FFF2-40B4-BE49-F238E27FC236}">
                  <a16:creationId xmlns:a16="http://schemas.microsoft.com/office/drawing/2014/main" id="{35208010-3089-4E95-8A69-29CA89C4E5E8}"/>
                </a:ext>
              </a:extLst>
            </xdr:cNvPr>
            <xdr:cNvGraphicFramePr/>
          </xdr:nvGraphicFramePr>
          <xdr:xfrm>
            <a:off x="0" y="0"/>
            <a:ext cx="0" cy="0"/>
          </xdr:xfrm>
          <a:graphic>
            <a:graphicData uri="http://schemas.microsoft.com/office/drawing/2010/slicer">
              <sle:slicer xmlns:sle="http://schemas.microsoft.com/office/drawing/2010/slicer" name="CostoTotalPorCargo"/>
            </a:graphicData>
          </a:graphic>
        </xdr:graphicFrame>
      </mc:Choice>
      <mc:Fallback xmlns="">
        <xdr:sp macro="" textlink="">
          <xdr:nvSpPr>
            <xdr:cNvPr id="0" name=""/>
            <xdr:cNvSpPr>
              <a:spLocks noTextEdit="1"/>
            </xdr:cNvSpPr>
          </xdr:nvSpPr>
          <xdr:spPr>
            <a:xfrm>
              <a:off x="10571748" y="548347"/>
              <a:ext cx="1868906" cy="2329752"/>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192505</xdr:colOff>
      <xdr:row>16</xdr:row>
      <xdr:rowOff>40107</xdr:rowOff>
    </xdr:from>
    <xdr:to>
      <xdr:col>20</xdr:col>
      <xdr:colOff>264695</xdr:colOff>
      <xdr:row>27</xdr:row>
      <xdr:rowOff>16043</xdr:rowOff>
    </xdr:to>
    <mc:AlternateContent xmlns:mc="http://schemas.openxmlformats.org/markup-compatibility/2006" xmlns:sle15="http://schemas.microsoft.com/office/drawing/2012/slicer">
      <mc:Choice Requires="sle15">
        <xdr:graphicFrame macro="">
          <xdr:nvGraphicFramePr>
            <xdr:cNvPr id="30" name="Granja">
              <a:extLst>
                <a:ext uri="{FF2B5EF4-FFF2-40B4-BE49-F238E27FC236}">
                  <a16:creationId xmlns:a16="http://schemas.microsoft.com/office/drawing/2014/main" id="{0231C115-0C56-4F23-A51A-8F11A2A3C9C6}"/>
                </a:ext>
              </a:extLst>
            </xdr:cNvPr>
            <xdr:cNvGraphicFramePr/>
          </xdr:nvGraphicFramePr>
          <xdr:xfrm>
            <a:off x="0" y="0"/>
            <a:ext cx="0" cy="0"/>
          </xdr:xfrm>
          <a:graphic>
            <a:graphicData uri="http://schemas.microsoft.com/office/drawing/2010/slicer">
              <sle:slicer xmlns:sle="http://schemas.microsoft.com/office/drawing/2010/slicer" name="Granja"/>
            </a:graphicData>
          </a:graphic>
        </xdr:graphicFrame>
      </mc:Choice>
      <mc:Fallback xmlns="">
        <xdr:sp macro="" textlink="">
          <xdr:nvSpPr>
            <xdr:cNvPr id="0" name=""/>
            <xdr:cNvSpPr>
              <a:spLocks noTextEdit="1"/>
            </xdr:cNvSpPr>
          </xdr:nvSpPr>
          <xdr:spPr>
            <a:xfrm>
              <a:off x="10555705" y="2921852"/>
              <a:ext cx="1900990" cy="1957136"/>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26894</xdr:colOff>
      <xdr:row>6</xdr:row>
      <xdr:rowOff>130782</xdr:rowOff>
    </xdr:from>
    <xdr:to>
      <xdr:col>1</xdr:col>
      <xdr:colOff>515471</xdr:colOff>
      <xdr:row>9</xdr:row>
      <xdr:rowOff>81555</xdr:rowOff>
    </xdr:to>
    <xdr:pic>
      <xdr:nvPicPr>
        <xdr:cNvPr id="33" name="Picture 32">
          <a:extLst>
            <a:ext uri="{FF2B5EF4-FFF2-40B4-BE49-F238E27FC236}">
              <a16:creationId xmlns:a16="http://schemas.microsoft.com/office/drawing/2014/main" id="{B325B73B-2671-F543-0677-CDDA1014B02F}"/>
            </a:ext>
          </a:extLst>
        </xdr:cNvPr>
        <xdr:cNvPicPr>
          <a:picLocks noChangeAspect="1"/>
        </xdr:cNvPicPr>
      </xdr:nvPicPr>
      <xdr:blipFill>
        <a:blip xmlns:r="http://schemas.openxmlformats.org/officeDocument/2006/relationships" r:embed="rId5"/>
        <a:stretch>
          <a:fillRect/>
        </a:stretch>
      </xdr:blipFill>
      <xdr:spPr>
        <a:xfrm>
          <a:off x="636494" y="1233441"/>
          <a:ext cx="488577" cy="502102"/>
        </a:xfrm>
        <a:prstGeom prst="rect">
          <a:avLst/>
        </a:prstGeom>
      </xdr:spPr>
    </xdr:pic>
    <xdr:clientData/>
  </xdr:twoCellAnchor>
  <xdr:twoCellAnchor editAs="oneCell">
    <xdr:from>
      <xdr:col>5</xdr:col>
      <xdr:colOff>52564</xdr:colOff>
      <xdr:row>6</xdr:row>
      <xdr:rowOff>143602</xdr:rowOff>
    </xdr:from>
    <xdr:to>
      <xdr:col>5</xdr:col>
      <xdr:colOff>548853</xdr:colOff>
      <xdr:row>9</xdr:row>
      <xdr:rowOff>102235</xdr:rowOff>
    </xdr:to>
    <xdr:pic>
      <xdr:nvPicPr>
        <xdr:cNvPr id="35" name="Picture 34">
          <a:extLst>
            <a:ext uri="{FF2B5EF4-FFF2-40B4-BE49-F238E27FC236}">
              <a16:creationId xmlns:a16="http://schemas.microsoft.com/office/drawing/2014/main" id="{DFF9EE4B-825B-2270-1BD9-87FAA620DDA9}"/>
            </a:ext>
          </a:extLst>
        </xdr:cNvPr>
        <xdr:cNvPicPr>
          <a:picLocks noChangeAspect="1"/>
        </xdr:cNvPicPr>
      </xdr:nvPicPr>
      <xdr:blipFill>
        <a:blip xmlns:r="http://schemas.openxmlformats.org/officeDocument/2006/relationships" r:embed="rId6"/>
        <a:stretch>
          <a:fillRect/>
        </a:stretch>
      </xdr:blipFill>
      <xdr:spPr>
        <a:xfrm>
          <a:off x="3094982" y="1248921"/>
          <a:ext cx="496289" cy="511292"/>
        </a:xfrm>
        <a:prstGeom prst="rect">
          <a:avLst/>
        </a:prstGeom>
      </xdr:spPr>
    </xdr:pic>
    <xdr:clientData/>
  </xdr:twoCellAnchor>
  <xdr:twoCellAnchor editAs="oneCell">
    <xdr:from>
      <xdr:col>9</xdr:col>
      <xdr:colOff>190834</xdr:colOff>
      <xdr:row>6</xdr:row>
      <xdr:rowOff>150841</xdr:rowOff>
    </xdr:from>
    <xdr:to>
      <xdr:col>10</xdr:col>
      <xdr:colOff>135898</xdr:colOff>
      <xdr:row>9</xdr:row>
      <xdr:rowOff>149879</xdr:rowOff>
    </xdr:to>
    <xdr:pic>
      <xdr:nvPicPr>
        <xdr:cNvPr id="36" name="Picture 35">
          <a:extLst>
            <a:ext uri="{FF2B5EF4-FFF2-40B4-BE49-F238E27FC236}">
              <a16:creationId xmlns:a16="http://schemas.microsoft.com/office/drawing/2014/main" id="{F9EB43AA-90D1-4138-9C06-A7933D1B4577}"/>
            </a:ext>
          </a:extLst>
        </xdr:cNvPr>
        <xdr:cNvPicPr>
          <a:picLocks noChangeAspect="1"/>
        </xdr:cNvPicPr>
      </xdr:nvPicPr>
      <xdr:blipFill>
        <a:blip xmlns:r="http://schemas.openxmlformats.org/officeDocument/2006/relationships" r:embed="rId7"/>
        <a:stretch>
          <a:fillRect/>
        </a:stretch>
      </xdr:blipFill>
      <xdr:spPr>
        <a:xfrm>
          <a:off x="5694707" y="1257440"/>
          <a:ext cx="556605" cy="552337"/>
        </a:xfrm>
        <a:prstGeom prst="rect">
          <a:avLst/>
        </a:prstGeom>
      </xdr:spPr>
    </xdr:pic>
    <xdr:clientData/>
  </xdr:twoCellAnchor>
  <xdr:twoCellAnchor editAs="oneCell">
    <xdr:from>
      <xdr:col>13</xdr:col>
      <xdr:colOff>80907</xdr:colOff>
      <xdr:row>6</xdr:row>
      <xdr:rowOff>158420</xdr:rowOff>
    </xdr:from>
    <xdr:to>
      <xdr:col>13</xdr:col>
      <xdr:colOff>560552</xdr:colOff>
      <xdr:row>9</xdr:row>
      <xdr:rowOff>86272</xdr:rowOff>
    </xdr:to>
    <xdr:pic>
      <xdr:nvPicPr>
        <xdr:cNvPr id="38" name="Picture 37">
          <a:extLst>
            <a:ext uri="{FF2B5EF4-FFF2-40B4-BE49-F238E27FC236}">
              <a16:creationId xmlns:a16="http://schemas.microsoft.com/office/drawing/2014/main" id="{C359C2D7-2A6D-17FA-E1D2-2E215928C12D}"/>
            </a:ext>
          </a:extLst>
        </xdr:cNvPr>
        <xdr:cNvPicPr>
          <a:picLocks noChangeAspect="1"/>
        </xdr:cNvPicPr>
      </xdr:nvPicPr>
      <xdr:blipFill>
        <a:blip xmlns:r="http://schemas.openxmlformats.org/officeDocument/2006/relationships" r:embed="rId8"/>
        <a:stretch>
          <a:fillRect/>
        </a:stretch>
      </xdr:blipFill>
      <xdr:spPr>
        <a:xfrm>
          <a:off x="8051252" y="1262006"/>
          <a:ext cx="479645" cy="479645"/>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943F4916-876A-411C-9C0B-0F676E3F9936}" autoFormatId="16" applyNumberFormats="0" applyBorderFormats="0" applyFontFormats="0" applyPatternFormats="0" applyAlignmentFormats="0" applyWidthHeightFormats="0">
  <queryTableRefresh nextId="2">
    <queryTableFields count="1">
      <queryTableField id="1" name="MontoTotalVentas"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5EC568E0-9D24-4109-8E41-289C6E5540BD}" autoFormatId="16" applyNumberFormats="0" applyBorderFormats="0" applyFontFormats="0" applyPatternFormats="0" applyAlignmentFormats="0" applyWidthHeightFormats="0">
  <queryTableRefresh nextId="2">
    <queryTableFields count="1">
      <queryTableField id="1" name="CostoLaboralTotal"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2" xr16:uid="{AF3DD0C7-0086-45A3-89C4-8DBED479F391}" autoFormatId="16" applyNumberFormats="0" applyBorderFormats="0" applyFontFormats="0" applyPatternFormats="0" applyAlignmentFormats="0" applyWidthHeightFormats="0">
  <queryTableRefresh nextId="2">
    <queryTableFields count="1">
      <queryTableField id="1" name="TotalCultivosRegistrados"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7" xr16:uid="{F6C58C40-540B-4A82-9C7F-33638111D5E9}" autoFormatId="16" applyNumberFormats="0" applyBorderFormats="0" applyFontFormats="0" applyPatternFormats="0" applyAlignmentFormats="0" applyWidthHeightFormats="0">
  <queryTableRefresh nextId="2">
    <queryTableFields count="1">
      <queryTableField id="1" name="ValorTotalInventario"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8" xr16:uid="{4C209676-6909-44D8-8E91-659A46A68631}" autoFormatId="16" applyNumberFormats="0" applyBorderFormats="0" applyFontFormats="0" applyPatternFormats="0" applyAlignmentFormats="0" applyWidthHeightFormats="0">
  <queryTableRefresh nextId="5">
    <queryTableFields count="4">
      <queryTableField id="1" name="Granja" tableColumnId="1"/>
      <queryTableField id="2" name="Anio" tableColumnId="2"/>
      <queryTableField id="3" name="Mes" tableColumnId="3"/>
      <queryTableField id="4" name="MontoVentas"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4" xr16:uid="{29E4DE27-6932-44FF-B5FC-F76ECD700628}" autoFormatId="16" applyNumberFormats="0" applyBorderFormats="0" applyFontFormats="0" applyPatternFormats="0" applyAlignmentFormats="0" applyWidthHeightFormats="0">
  <queryTableRefresh nextId="4">
    <queryTableFields count="3">
      <queryTableField id="1" name="Granja" tableColumnId="1"/>
      <queryTableField id="2" name="Cargo" tableColumnId="2"/>
      <queryTableField id="3" name="CostoTotalPorCargo"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8" connectionId="6" xr16:uid="{6A43A017-7ACA-44F1-9AEB-F1E4A2AE4FEE}" autoFormatId="16" applyNumberFormats="0" applyBorderFormats="0" applyFontFormats="0" applyPatternFormats="0" applyAlignmentFormats="0" applyWidthHeightFormats="0">
  <queryTableRefresh nextId="3">
    <queryTableFields count="2">
      <queryTableField id="1" name="TipoCultivo" tableColumnId="1"/>
      <queryTableField id="2" name="CantidadTotalCosechada"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0" connectionId="3" xr16:uid="{BBAAF12C-42D0-4DAD-AD7E-7218B38C0642}" autoFormatId="16" applyNumberFormats="0" applyBorderFormats="0" applyFontFormats="0" applyPatternFormats="0" applyAlignmentFormats="0" applyWidthHeightFormats="0">
  <queryTableRefresh nextId="3">
    <queryTableFields count="2">
      <queryTableField id="1" name="Proveedor" tableColumnId="1"/>
      <queryTableField id="2" name="GastoTotalInsumo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oTotalPorCargo" xr10:uid="{9059B29B-BD0D-4E6A-B609-DDAF8F28F62F}" sourceName="CostoTotalPorCargo">
  <extLst>
    <x:ext xmlns:x15="http://schemas.microsoft.com/office/spreadsheetml/2010/11/main" uri="{2F2917AC-EB37-4324-AD4E-5DD8C200BD13}">
      <x15:tableSlicerCache tableId="7"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nja" xr10:uid="{30588406-3031-44BE-8F56-EB105F67EA93}" sourceName="Granja">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stoTotalPorCargo" xr10:uid="{E053FDED-A5A6-4715-8B37-29B4739A8AB4}" cache="Slicer_CostoTotalPorCargo" caption="CostoTotalPorCargo" rowHeight="247650"/>
  <slicer name="Granja" xr10:uid="{6656BA06-429F-41A1-98A7-5CD44EFA5430}" cache="Slicer_Granja" caption="Granja"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CF96D4-CEC5-4B6E-AAB9-8505FC149DF7}" name="DataSetMontoTotalVentas" displayName="DataSetMontoTotalVentas" ref="A1:A2" tableType="queryTable" totalsRowShown="0">
  <autoFilter ref="A1:A2" xr:uid="{50CF96D4-CEC5-4B6E-AAB9-8505FC149DF7}"/>
  <tableColumns count="1">
    <tableColumn id="1" xr3:uid="{08482293-BA2F-4D45-92D5-E83231D15312}" uniqueName="1" name="MontoTotalVentas" queryTableField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B48BA0-2D64-463A-BAA0-57BD9B0A1220}" name="DataSetCostoLaboralTotal" displayName="DataSetCostoLaboralTotal" ref="A5:A6" tableType="queryTable" totalsRowShown="0">
  <autoFilter ref="A5:A6" xr:uid="{8FB48BA0-2D64-463A-BAA0-57BD9B0A1220}"/>
  <tableColumns count="1">
    <tableColumn id="1" xr3:uid="{731FFB6E-78D1-49AA-9C56-5E758BBBE18E}" uniqueName="1" name="CostoLaboralTotal"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D32E85-E3F2-4353-9315-9E133FD58384}" name="DataSetCultivosRegistrados" displayName="DataSetCultivosRegistrados" ref="A9:A10" tableType="queryTable" totalsRowShown="0">
  <autoFilter ref="A9:A10" xr:uid="{D0D32E85-E3F2-4353-9315-9E133FD58384}"/>
  <tableColumns count="1">
    <tableColumn id="1" xr3:uid="{71D0FEE0-1888-4B2B-9CE5-19CF229E1D9D}" uniqueName="1" name="TotalCultivosRegistrados" queryTableField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A1874E-064C-4C4E-A71C-0A7111F168E7}" name="DataSetTotalinventario" displayName="DataSetTotalinventario" ref="A13:A14" tableType="queryTable" totalsRowShown="0">
  <autoFilter ref="A13:A14" xr:uid="{69A1874E-064C-4C4E-A71C-0A7111F168E7}"/>
  <tableColumns count="1">
    <tableColumn id="1" xr3:uid="{894F4EE8-75AA-4E2C-9787-273701EC13C7}" uniqueName="1" name="ValorTotalInventario" queryTableFieldId="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1CA0A2D-BDCF-4202-8FDE-EA522CE08CA0}" name="DataSetTotalInventarioInsumos" displayName="DataSetTotalInventarioInsumos" ref="B17:E25" tableType="queryTable" totalsRowShown="0">
  <autoFilter ref="B17:E25" xr:uid="{E1CA0A2D-BDCF-4202-8FDE-EA522CE08CA0}"/>
  <tableColumns count="4">
    <tableColumn id="1" xr3:uid="{A11DAB75-9078-4936-93EA-6777E91021CB}" uniqueName="1" name="Granja" queryTableFieldId="1" dataDxfId="5"/>
    <tableColumn id="2" xr3:uid="{B738C69A-2CB8-4B77-BB0F-F1E2E6DB6844}" uniqueName="2" name="Anio" queryTableFieldId="2"/>
    <tableColumn id="3" xr3:uid="{4679AA60-9E2B-489A-A32D-D3097C74A2B1}" uniqueName="3" name="Mes" queryTableFieldId="3"/>
    <tableColumn id="4" xr3:uid="{9172226A-B48A-4076-8DD4-0C68BF4FB6A3}" uniqueName="4" name="MontoVentas"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15F158-77A1-4FAA-8BA2-337A980B4F4A}" name="DataSetDistribucionGastoLaboralCargoGranja" displayName="DataSetDistribucionGastoLaboralCargoGranja" ref="B29:D36" tableType="queryTable" totalsRowShown="0">
  <autoFilter ref="B29:D36" xr:uid="{F715F158-77A1-4FAA-8BA2-337A980B4F4A}"/>
  <tableColumns count="3">
    <tableColumn id="1" xr3:uid="{3A227CE7-9AB5-424F-9286-A373BBA5C3FD}" uniqueName="1" name="Granja" queryTableFieldId="1" dataDxfId="4"/>
    <tableColumn id="2" xr3:uid="{CF7CC86A-5B90-4B69-9972-8FD8EB44387C}" uniqueName="2" name="Cargo" queryTableFieldId="2" dataDxfId="3"/>
    <tableColumn id="3" xr3:uid="{458892B5-6FFA-4731-889F-8EDA63C30967}" uniqueName="3" name="CostoTotalPorCargo" queryTableFieldId="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AF2933-DED2-48B2-855D-FAFCF21B0B29}" name="DataSetRendimientocultivosTipo" displayName="DataSetRendimientocultivosTipo" ref="B40:C49" tableType="queryTable" totalsRowShown="0">
  <autoFilter ref="B40:C49" xr:uid="{A1AF2933-DED2-48B2-855D-FAFCF21B0B29}"/>
  <tableColumns count="2">
    <tableColumn id="1" xr3:uid="{D0C95E27-A9C5-4CD9-9B82-B3856A245B28}" uniqueName="1" name="TipoCultivo" queryTableFieldId="1" dataDxfId="2"/>
    <tableColumn id="2" xr3:uid="{D1983D9C-DCD6-49D9-9CA8-EE74CD1F2134}" uniqueName="2" name="CantidadTotalCosechada" queryTableField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60A9FE-8E18-45BB-A1A1-55319FD9346E}" name="Query4" displayName="Query4" ref="B53:C62" totalsRowShown="0">
  <autoFilter ref="B53:C62" xr:uid="{4A60A9FE-8E18-45BB-A1A1-55319FD9346E}"/>
  <tableColumns count="2">
    <tableColumn id="1" xr3:uid="{99591716-6F86-411C-B17A-65521DA5B4D7}" name="TipoCultivo" dataDxfId="1"/>
    <tableColumn id="2" xr3:uid="{8885EF54-CDFC-47A6-AC5D-A3F7537D5B21}" name="CantidadTotalCosechada"/>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5D02015-7AD0-446F-B50B-1F012D41D46C}" name="DataSetDistribucionGastoInsumosProveedor" displayName="DataSetDistribucionGastoInsumosProveedor" ref="B67:C73" tableType="queryTable" totalsRowShown="0">
  <autoFilter ref="B67:C73" xr:uid="{F5D02015-7AD0-446F-B50B-1F012D41D46C}"/>
  <tableColumns count="2">
    <tableColumn id="1" xr3:uid="{DE5FDDD8-D858-4833-9785-08B127ECC07F}" uniqueName="1" name="Proveedor" queryTableFieldId="1" dataDxfId="0"/>
    <tableColumn id="2" xr3:uid="{39D7D304-ADEF-4E52-AACF-741212214DD3}" uniqueName="2" name="GastoTotalInsumos" queryTableFieldId="2"/>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0A8D3-143A-47FD-9404-7338D4A057D2}">
  <dimension ref="W15"/>
  <sheetViews>
    <sheetView showGridLines="0" showRowColHeaders="0" tabSelected="1" zoomScale="110" zoomScaleNormal="77" workbookViewId="0">
      <selection activeCell="W15" sqref="W15"/>
    </sheetView>
  </sheetViews>
  <sheetFormatPr baseColWidth="10" defaultColWidth="9.140625" defaultRowHeight="15" x14ac:dyDescent="0.25"/>
  <sheetData>
    <row r="15" spans="23:23" x14ac:dyDescent="0.25">
      <c r="W15" s="4"/>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E0B37-10E2-47AA-B984-DC5140D812E9}">
  <dimension ref="A1:N73"/>
  <sheetViews>
    <sheetView topLeftCell="A11" zoomScale="62" workbookViewId="0">
      <selection activeCell="N32" sqref="N32"/>
    </sheetView>
  </sheetViews>
  <sheetFormatPr baseColWidth="10" defaultColWidth="9.140625" defaultRowHeight="15" x14ac:dyDescent="0.25"/>
  <cols>
    <col min="1" max="1" width="20.28515625" bestFit="1" customWidth="1"/>
    <col min="2" max="2" width="32.7109375" bestFit="1" customWidth="1"/>
    <col min="3" max="3" width="19.42578125" bestFit="1" customWidth="1"/>
    <col min="4" max="4" width="19.85546875" bestFit="1" customWidth="1"/>
    <col min="5" max="5" width="14" bestFit="1" customWidth="1"/>
    <col min="8" max="8" width="32.7109375" bestFit="1" customWidth="1"/>
    <col min="9" max="9" width="12.42578125" bestFit="1" customWidth="1"/>
    <col min="10" max="11" width="11.7109375" bestFit="1" customWidth="1"/>
  </cols>
  <sheetData>
    <row r="1" spans="1:9" x14ac:dyDescent="0.25">
      <c r="A1" t="s">
        <v>0</v>
      </c>
    </row>
    <row r="2" spans="1:9" x14ac:dyDescent="0.25">
      <c r="A2">
        <v>155804</v>
      </c>
      <c r="C2" s="1">
        <f>+DataSetMontoTotalVentas[[#This Row],[MontoTotalVentas]]</f>
        <v>155804</v>
      </c>
    </row>
    <row r="3" spans="1:9" x14ac:dyDescent="0.25">
      <c r="C3" s="1"/>
    </row>
    <row r="4" spans="1:9" x14ac:dyDescent="0.25">
      <c r="C4" s="1" cm="1">
        <f t="array" ref="C4">+DataSetCostoLaboralTotal[CostoLaboralTotal]</f>
        <v>66220</v>
      </c>
    </row>
    <row r="5" spans="1:9" x14ac:dyDescent="0.25">
      <c r="A5" t="s">
        <v>1</v>
      </c>
      <c r="C5" s="1"/>
    </row>
    <row r="6" spans="1:9" x14ac:dyDescent="0.25">
      <c r="A6">
        <v>66220</v>
      </c>
      <c r="C6" s="2" cm="1">
        <f t="array" ref="C6">+DataSetCultivosRegistrados[TotalCultivosRegistrados]</f>
        <v>10</v>
      </c>
      <c r="H6" t="str" cm="1">
        <f t="array" ref="H6:H13">+DataSetTotalInventarioInsumos[Granja]</f>
        <v>Granja El Amanecer</v>
      </c>
      <c r="I6" cm="1">
        <f t="array" ref="I6:I13">+DataSetTotalInventarioInsumos[MontoVentas]</f>
        <v>67200</v>
      </c>
    </row>
    <row r="7" spans="1:9" x14ac:dyDescent="0.25">
      <c r="C7" s="1"/>
      <c r="H7" t="str">
        <v>Finca La Esperanza</v>
      </c>
      <c r="I7">
        <v>4480</v>
      </c>
    </row>
    <row r="8" spans="1:9" x14ac:dyDescent="0.25">
      <c r="C8" s="1" cm="1">
        <f t="array" ref="C8">+DataSetTotalinventario[ValorTotalInventario]</f>
        <v>130000</v>
      </c>
      <c r="H8" t="str">
        <v>Granja El Amanecer</v>
      </c>
      <c r="I8">
        <v>6620</v>
      </c>
    </row>
    <row r="9" spans="1:9" x14ac:dyDescent="0.25">
      <c r="A9" t="s">
        <v>2</v>
      </c>
      <c r="H9" t="str">
        <v>Granja Los Pinos</v>
      </c>
      <c r="I9">
        <v>33600</v>
      </c>
    </row>
    <row r="10" spans="1:9" x14ac:dyDescent="0.25">
      <c r="A10">
        <v>10</v>
      </c>
      <c r="H10" t="str">
        <v>Agropecuaria La Ceiba</v>
      </c>
      <c r="I10">
        <v>19600</v>
      </c>
    </row>
    <row r="11" spans="1:9" x14ac:dyDescent="0.25">
      <c r="H11" t="str">
        <v>Finca El Portal</v>
      </c>
      <c r="I11">
        <v>1344</v>
      </c>
    </row>
    <row r="12" spans="1:9" x14ac:dyDescent="0.25">
      <c r="H12" t="str">
        <v>Agropecuaria Del Sur</v>
      </c>
      <c r="I12">
        <v>22960</v>
      </c>
    </row>
    <row r="13" spans="1:9" x14ac:dyDescent="0.25">
      <c r="A13" t="s">
        <v>3</v>
      </c>
      <c r="H13" t="str">
        <v>Finca Las Victorias</v>
      </c>
      <c r="I13">
        <v>0</v>
      </c>
    </row>
    <row r="14" spans="1:9" x14ac:dyDescent="0.25">
      <c r="A14">
        <v>130000</v>
      </c>
    </row>
    <row r="17" spans="2:14" x14ac:dyDescent="0.25">
      <c r="B17" t="s">
        <v>4</v>
      </c>
      <c r="C17" t="s">
        <v>5</v>
      </c>
      <c r="D17" t="s">
        <v>6</v>
      </c>
      <c r="E17" t="s">
        <v>7</v>
      </c>
      <c r="H17" t="str" cm="1">
        <f t="array" ref="H17:K24">+DataSetTotalInventarioInsumos[]</f>
        <v>Granja El Amanecer</v>
      </c>
      <c r="I17">
        <v>2025</v>
      </c>
      <c r="J17">
        <v>5</v>
      </c>
      <c r="K17" s="3">
        <v>67200</v>
      </c>
    </row>
    <row r="18" spans="2:14" x14ac:dyDescent="0.25">
      <c r="B18" t="s">
        <v>8</v>
      </c>
      <c r="C18">
        <v>2025</v>
      </c>
      <c r="D18">
        <v>5</v>
      </c>
      <c r="E18">
        <v>67200</v>
      </c>
      <c r="H18" t="str">
        <v>Finca La Esperanza</v>
      </c>
      <c r="I18">
        <v>2025</v>
      </c>
      <c r="J18">
        <v>6</v>
      </c>
      <c r="K18" s="3">
        <v>4480</v>
      </c>
    </row>
    <row r="19" spans="2:14" x14ac:dyDescent="0.25">
      <c r="B19" t="s">
        <v>9</v>
      </c>
      <c r="C19">
        <v>2025</v>
      </c>
      <c r="D19">
        <v>6</v>
      </c>
      <c r="E19">
        <v>4480</v>
      </c>
      <c r="H19" t="str">
        <v>Granja El Amanecer</v>
      </c>
      <c r="I19">
        <v>2025</v>
      </c>
      <c r="J19">
        <v>7</v>
      </c>
      <c r="K19" s="3">
        <v>6620</v>
      </c>
    </row>
    <row r="20" spans="2:14" x14ac:dyDescent="0.25">
      <c r="B20" t="s">
        <v>8</v>
      </c>
      <c r="C20">
        <v>2025</v>
      </c>
      <c r="D20">
        <v>7</v>
      </c>
      <c r="E20">
        <v>6620</v>
      </c>
      <c r="H20" t="str">
        <v>Granja Los Pinos</v>
      </c>
      <c r="I20">
        <v>2025</v>
      </c>
      <c r="J20">
        <v>7</v>
      </c>
      <c r="K20" s="3">
        <v>33600</v>
      </c>
    </row>
    <row r="21" spans="2:14" x14ac:dyDescent="0.25">
      <c r="B21" t="s">
        <v>10</v>
      </c>
      <c r="C21">
        <v>2025</v>
      </c>
      <c r="D21">
        <v>7</v>
      </c>
      <c r="E21">
        <v>33600</v>
      </c>
      <c r="H21" t="str">
        <v>Agropecuaria La Ceiba</v>
      </c>
      <c r="I21">
        <v>2025</v>
      </c>
      <c r="J21">
        <v>8</v>
      </c>
      <c r="K21" s="3">
        <v>19600</v>
      </c>
    </row>
    <row r="22" spans="2:14" x14ac:dyDescent="0.25">
      <c r="B22" t="s">
        <v>11</v>
      </c>
      <c r="C22">
        <v>2025</v>
      </c>
      <c r="D22">
        <v>8</v>
      </c>
      <c r="E22">
        <v>19600</v>
      </c>
      <c r="H22" t="str">
        <v>Finca El Portal</v>
      </c>
      <c r="I22">
        <v>2025</v>
      </c>
      <c r="J22">
        <v>8</v>
      </c>
      <c r="K22" s="3">
        <v>1344</v>
      </c>
    </row>
    <row r="23" spans="2:14" x14ac:dyDescent="0.25">
      <c r="B23" t="s">
        <v>12</v>
      </c>
      <c r="C23">
        <v>2025</v>
      </c>
      <c r="D23">
        <v>8</v>
      </c>
      <c r="E23">
        <v>1344</v>
      </c>
      <c r="H23" t="str">
        <v>Agropecuaria Del Sur</v>
      </c>
      <c r="I23">
        <v>2025</v>
      </c>
      <c r="J23">
        <v>9</v>
      </c>
      <c r="K23" s="3">
        <v>22960</v>
      </c>
    </row>
    <row r="24" spans="2:14" x14ac:dyDescent="0.25">
      <c r="B24" t="s">
        <v>13</v>
      </c>
      <c r="C24">
        <v>2025</v>
      </c>
      <c r="D24">
        <v>9</v>
      </c>
      <c r="E24">
        <v>22960</v>
      </c>
      <c r="H24" t="str">
        <v>Finca Las Victorias</v>
      </c>
      <c r="I24">
        <v>2025</v>
      </c>
      <c r="J24">
        <v>10</v>
      </c>
      <c r="K24" s="3">
        <v>0</v>
      </c>
    </row>
    <row r="25" spans="2:14" x14ac:dyDescent="0.25">
      <c r="B25" t="s">
        <v>14</v>
      </c>
      <c r="C25">
        <v>2025</v>
      </c>
      <c r="D25">
        <v>10</v>
      </c>
      <c r="E25">
        <v>0</v>
      </c>
    </row>
    <row r="29" spans="2:14" x14ac:dyDescent="0.25">
      <c r="B29" t="s">
        <v>4</v>
      </c>
      <c r="C29" t="s">
        <v>15</v>
      </c>
      <c r="D29" t="s">
        <v>16</v>
      </c>
    </row>
    <row r="30" spans="2:14" x14ac:dyDescent="0.25">
      <c r="B30" t="s">
        <v>13</v>
      </c>
      <c r="C30" t="s">
        <v>17</v>
      </c>
      <c r="D30">
        <v>5600</v>
      </c>
      <c r="H30" t="str" cm="1">
        <f t="array" ref="H30:J36">+DataSetDistribucionGastoLaboralCargoGranja[]</f>
        <v>Agropecuaria Del Sur</v>
      </c>
      <c r="I30" t="str">
        <v>Capataz</v>
      </c>
      <c r="J30" s="1">
        <v>5600</v>
      </c>
    </row>
    <row r="31" spans="2:14" x14ac:dyDescent="0.25">
      <c r="B31" t="s">
        <v>11</v>
      </c>
      <c r="C31" t="s">
        <v>18</v>
      </c>
      <c r="D31">
        <v>4420</v>
      </c>
      <c r="H31" t="str">
        <v>Agropecuaria La Ceiba</v>
      </c>
      <c r="I31" t="str">
        <v>Operario</v>
      </c>
      <c r="J31" s="1">
        <v>4420</v>
      </c>
    </row>
    <row r="32" spans="2:14" x14ac:dyDescent="0.25">
      <c r="B32" t="s">
        <v>9</v>
      </c>
      <c r="C32" t="s">
        <v>18</v>
      </c>
      <c r="D32">
        <v>4200</v>
      </c>
      <c r="H32" t="str">
        <v>Finca La Esperanza</v>
      </c>
      <c r="I32" t="str">
        <v>Operario</v>
      </c>
      <c r="J32" s="1">
        <v>4200</v>
      </c>
      <c r="N32" t="s">
        <v>41</v>
      </c>
    </row>
    <row r="33" spans="2:10" x14ac:dyDescent="0.25">
      <c r="B33" t="s">
        <v>14</v>
      </c>
      <c r="C33" t="s">
        <v>19</v>
      </c>
      <c r="D33">
        <v>7650</v>
      </c>
      <c r="H33" t="str">
        <v>Finca Las Victorias</v>
      </c>
      <c r="I33" t="str">
        <v>Agronomo</v>
      </c>
      <c r="J33" s="1">
        <v>7650</v>
      </c>
    </row>
    <row r="34" spans="2:10" x14ac:dyDescent="0.25">
      <c r="B34" t="s">
        <v>8</v>
      </c>
      <c r="C34" t="s">
        <v>20</v>
      </c>
      <c r="D34">
        <v>22600</v>
      </c>
      <c r="H34" t="str">
        <v>Granja El Amanecer</v>
      </c>
      <c r="I34" t="str">
        <v>Admin</v>
      </c>
      <c r="J34" s="1">
        <v>22600</v>
      </c>
    </row>
    <row r="35" spans="2:10" x14ac:dyDescent="0.25">
      <c r="B35" t="s">
        <v>8</v>
      </c>
      <c r="C35" t="s">
        <v>21</v>
      </c>
      <c r="D35">
        <v>17450</v>
      </c>
      <c r="H35" t="str">
        <v>Granja El Amanecer</v>
      </c>
      <c r="I35" t="str">
        <v>Veterinar</v>
      </c>
      <c r="J35" s="1">
        <v>17450</v>
      </c>
    </row>
    <row r="36" spans="2:10" x14ac:dyDescent="0.25">
      <c r="B36" t="s">
        <v>8</v>
      </c>
      <c r="C36" t="s">
        <v>18</v>
      </c>
      <c r="D36">
        <v>4300</v>
      </c>
      <c r="H36" t="str">
        <v>Granja El Amanecer</v>
      </c>
      <c r="I36" t="str">
        <v>Operario</v>
      </c>
      <c r="J36" s="1">
        <v>4300</v>
      </c>
    </row>
    <row r="40" spans="2:10" x14ac:dyDescent="0.25">
      <c r="B40" t="s">
        <v>22</v>
      </c>
      <c r="C40" t="s">
        <v>23</v>
      </c>
      <c r="H40" t="str" cm="1">
        <f t="array" ref="H40:I48">+DataSetRendimientocultivosTipo[]</f>
        <v>Sorgo (Forraje)</v>
      </c>
      <c r="I40" s="3">
        <v>1500</v>
      </c>
    </row>
    <row r="41" spans="2:10" x14ac:dyDescent="0.25">
      <c r="B41" t="s">
        <v>24</v>
      </c>
      <c r="C41">
        <v>1500</v>
      </c>
      <c r="H41" t="str">
        <v>Cafe</v>
      </c>
      <c r="I41" s="3">
        <v>1200</v>
      </c>
    </row>
    <row r="42" spans="2:10" x14ac:dyDescent="0.25">
      <c r="B42" t="s">
        <v>25</v>
      </c>
      <c r="C42">
        <v>1200</v>
      </c>
      <c r="H42" t="str">
        <v>Aguacate</v>
      </c>
      <c r="I42" s="3">
        <v>1000</v>
      </c>
    </row>
    <row r="43" spans="2:10" x14ac:dyDescent="0.25">
      <c r="B43" t="s">
        <v>26</v>
      </c>
      <c r="C43">
        <v>1000</v>
      </c>
      <c r="H43" t="str">
        <v>Papa</v>
      </c>
      <c r="I43" s="3">
        <v>800</v>
      </c>
    </row>
    <row r="44" spans="2:10" x14ac:dyDescent="0.25">
      <c r="B44" t="s">
        <v>27</v>
      </c>
      <c r="C44">
        <v>800</v>
      </c>
      <c r="H44" t="str">
        <v>Zanahoria</v>
      </c>
      <c r="I44" s="3">
        <v>600</v>
      </c>
    </row>
    <row r="45" spans="2:10" x14ac:dyDescent="0.25">
      <c r="B45" t="s">
        <v>28</v>
      </c>
      <c r="C45">
        <v>600</v>
      </c>
      <c r="H45" t="str">
        <v>Maiz</v>
      </c>
      <c r="I45" s="3">
        <v>500.5</v>
      </c>
    </row>
    <row r="46" spans="2:10" x14ac:dyDescent="0.25">
      <c r="B46" t="s">
        <v>29</v>
      </c>
      <c r="C46">
        <v>500.5</v>
      </c>
      <c r="H46" t="str">
        <v>Maiz (Segunda)</v>
      </c>
      <c r="I46" s="3">
        <v>450</v>
      </c>
    </row>
    <row r="47" spans="2:10" x14ac:dyDescent="0.25">
      <c r="B47" t="s">
        <v>30</v>
      </c>
      <c r="C47">
        <v>450</v>
      </c>
      <c r="H47" t="str">
        <v>Frijol</v>
      </c>
      <c r="I47" s="3">
        <v>300</v>
      </c>
    </row>
    <row r="48" spans="2:10" x14ac:dyDescent="0.25">
      <c r="B48" t="s">
        <v>31</v>
      </c>
      <c r="C48">
        <v>300</v>
      </c>
      <c r="H48" t="str">
        <v>Tomate</v>
      </c>
      <c r="I48" s="3">
        <v>150.19999999999999</v>
      </c>
    </row>
    <row r="49" spans="2:9" x14ac:dyDescent="0.25">
      <c r="B49" t="s">
        <v>32</v>
      </c>
      <c r="C49">
        <v>150.19999999999999</v>
      </c>
    </row>
    <row r="53" spans="2:9" x14ac:dyDescent="0.25">
      <c r="B53" t="s">
        <v>22</v>
      </c>
      <c r="C53" t="s">
        <v>23</v>
      </c>
      <c r="H53" t="str" cm="1">
        <f t="array" ref="H53:I58">+DataSetDistribucionGastoInsumosProveedor[]</f>
        <v>Concentrados El Corral</v>
      </c>
      <c r="I53" s="3">
        <v>38800</v>
      </c>
    </row>
    <row r="54" spans="2:9" x14ac:dyDescent="0.25">
      <c r="B54" t="s">
        <v>24</v>
      </c>
      <c r="C54">
        <v>1500</v>
      </c>
      <c r="H54" t="str">
        <v>Fertilizantes De Guatemala (FERTIGUA)</v>
      </c>
      <c r="I54" s="3">
        <v>35000</v>
      </c>
    </row>
    <row r="55" spans="2:9" x14ac:dyDescent="0.25">
      <c r="B55" t="s">
        <v>25</v>
      </c>
      <c r="C55">
        <v>1200</v>
      </c>
      <c r="H55" t="str">
        <v>Semillas Del Tropico</v>
      </c>
      <c r="I55" s="3">
        <v>24000</v>
      </c>
    </row>
    <row r="56" spans="2:9" x14ac:dyDescent="0.25">
      <c r="B56" t="s">
        <v>26</v>
      </c>
      <c r="C56">
        <v>1000</v>
      </c>
      <c r="H56" t="str">
        <v>Combustibles Del Sur (Distribuidor)</v>
      </c>
      <c r="I56" s="3">
        <v>15000</v>
      </c>
    </row>
    <row r="57" spans="2:9" x14ac:dyDescent="0.25">
      <c r="B57" t="s">
        <v>27</v>
      </c>
      <c r="C57">
        <v>800</v>
      </c>
      <c r="H57" t="str">
        <v>AgroInsumos S.A.</v>
      </c>
      <c r="I57" s="3">
        <v>8700</v>
      </c>
    </row>
    <row r="58" spans="2:9" x14ac:dyDescent="0.25">
      <c r="B58" t="s">
        <v>28</v>
      </c>
      <c r="C58">
        <v>600</v>
      </c>
      <c r="H58" t="str">
        <v>Veterinaria El Ganadero</v>
      </c>
      <c r="I58" s="3">
        <v>8500</v>
      </c>
    </row>
    <row r="59" spans="2:9" x14ac:dyDescent="0.25">
      <c r="B59" t="s">
        <v>29</v>
      </c>
      <c r="C59">
        <v>500.5</v>
      </c>
    </row>
    <row r="60" spans="2:9" x14ac:dyDescent="0.25">
      <c r="B60" t="s">
        <v>30</v>
      </c>
      <c r="C60">
        <v>450</v>
      </c>
    </row>
    <row r="61" spans="2:9" x14ac:dyDescent="0.25">
      <c r="B61" t="s">
        <v>31</v>
      </c>
      <c r="C61">
        <v>300</v>
      </c>
    </row>
    <row r="62" spans="2:9" x14ac:dyDescent="0.25">
      <c r="B62" t="s">
        <v>32</v>
      </c>
      <c r="C62">
        <v>150.19999999999999</v>
      </c>
    </row>
    <row r="67" spans="2:3" x14ac:dyDescent="0.25">
      <c r="B67" t="s">
        <v>33</v>
      </c>
      <c r="C67" t="s">
        <v>34</v>
      </c>
    </row>
    <row r="68" spans="2:3" x14ac:dyDescent="0.25">
      <c r="B68" t="s">
        <v>35</v>
      </c>
      <c r="C68">
        <v>38800</v>
      </c>
    </row>
    <row r="69" spans="2:3" x14ac:dyDescent="0.25">
      <c r="B69" t="s">
        <v>36</v>
      </c>
      <c r="C69">
        <v>35000</v>
      </c>
    </row>
    <row r="70" spans="2:3" x14ac:dyDescent="0.25">
      <c r="B70" t="s">
        <v>37</v>
      </c>
      <c r="C70">
        <v>24000</v>
      </c>
    </row>
    <row r="71" spans="2:3" x14ac:dyDescent="0.25">
      <c r="B71" t="s">
        <v>38</v>
      </c>
      <c r="C71">
        <v>15000</v>
      </c>
    </row>
    <row r="72" spans="2:3" x14ac:dyDescent="0.25">
      <c r="B72" t="s">
        <v>39</v>
      </c>
      <c r="C72">
        <v>8700</v>
      </c>
    </row>
    <row r="73" spans="2:3" x14ac:dyDescent="0.25">
      <c r="B73" t="s">
        <v>40</v>
      </c>
      <c r="C73">
        <v>8500</v>
      </c>
    </row>
  </sheetData>
  <sheetProtection algorithmName="SHA-512" hashValue="+yfMhE4shH9NONUDKmIVLQTKu4xVxFUkPSOgKVlzIDM55WGrfkcrCqtikxBA2OLvfS+jX9GONMCOP7Bkn8wDKg==" saltValue="pw+vsBkVXxzhGEp978JQHQ==" spinCount="100000" sheet="1" objects="1" scenarios="1"/>
  <pageMargins left="0.7" right="0.7" top="0.75" bottom="0.75" header="0.3" footer="0.3"/>
  <tableParts count="9">
    <tablePart r:id="rId1"/>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EC330F-B5D0-43DC-A3F9-8E110C80A4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235202 - GERBER DIONICIO CANAHUI CHAPAS</dc:creator>
  <cp:lastModifiedBy>Gerber Dionicio Canahui Chapas</cp:lastModifiedBy>
  <dcterms:created xsi:type="dcterms:W3CDTF">2025-11-01T05:39:31Z</dcterms:created>
  <dcterms:modified xsi:type="dcterms:W3CDTF">2025-11-02T05:12:08Z</dcterms:modified>
</cp:coreProperties>
</file>